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Backlog" sheetId="2" state="visible" r:id="rId4"/>
    <sheet name="Summary" sheetId="3" state="visible" r:id="rId5"/>
    <sheet name="Personas" sheetId="4" state="visible" r:id="rId6"/>
    <sheet name="Screens" sheetId="5" state="visible" r:id="rId7"/>
    <sheet name="Lis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<sst xmlns="http://schemas.openxmlformats.org/spreadsheetml/2006/main" count="3672" uniqueCount="1389">
  <si>
    <t xml:space="preserve">Trailbuddies backlog</t>
  </si>
  <si>
    <t xml:space="preserve">Prepared 21 Oct 2026 for Steve Gaita. Same story IDs as the Markdown doc and the GitHub issues.</t>
  </si>
  <si>
    <t xml:space="preserve">Sheet</t>
  </si>
  <si>
    <t xml:space="preserve">What it holds</t>
  </si>
  <si>
    <t xml:space="preserve">Backlog</t>
  </si>
  <si>
    <t xml:space="preserve">One row per user story. Edit Status, Sprint, Owner and GitHub # here; Points is calculated from Size.</t>
  </si>
  <si>
    <t xml:space="preserve">Summary</t>
  </si>
  <si>
    <t xml:space="preserve">Counts and points by milestone, priority, status and epic; all formulas, so it updates as you edit Backlog.</t>
  </si>
  <si>
    <t xml:space="preserve">Personas</t>
  </si>
  <si>
    <t xml:space="preserve">Who the stories are written for.</t>
  </si>
  <si>
    <t xml:space="preserve">Screens</t>
  </si>
  <si>
    <t xml:space="preserve">Wireframe screen IDs used in the Screens column.</t>
  </si>
  <si>
    <t xml:space="preserve">Lists</t>
  </si>
  <si>
    <t xml:space="preserve">Allowed values for Priority, Size (with points), Milestone and Status.</t>
  </si>
  <si>
    <t xml:space="preserve">Cells you edit</t>
  </si>
  <si>
    <t xml:space="preserve">Backlog: Status, Sprint, Owner, GitHub #, Notes (yellow headers). Everything else comes from the story source.</t>
  </si>
  <si>
    <t xml:space="preserve">Size → points</t>
  </si>
  <si>
    <t xml:space="preserve">XS=1, S=2, M=3, L=5, XL=8 (one point ≈ half a day of Claude-assisted work). Set in Lists.</t>
  </si>
  <si>
    <t xml:space="preserve">Example row</t>
  </si>
  <si>
    <t xml:space="preserve">MVP-ready stories look like ONB-02: Must · M · MVP · S2 · Status 'To do'.</t>
  </si>
  <si>
    <t xml:space="preserve">ID</t>
  </si>
  <si>
    <t xml:space="preserve">Epic</t>
  </si>
  <si>
    <t xml:space="preserve">Epic name</t>
  </si>
  <si>
    <t xml:space="preserve">Title</t>
  </si>
  <si>
    <t xml:space="preserve">Persona / role</t>
  </si>
  <si>
    <t xml:space="preserve">User story</t>
  </si>
  <si>
    <t xml:space="preserve">Acceptance criteria (Given / When / Then)</t>
  </si>
  <si>
    <t xml:space="preserve">Priority</t>
  </si>
  <si>
    <t xml:space="preserve">Size</t>
  </si>
  <si>
    <t xml:space="preserve">Points</t>
  </si>
  <si>
    <t xml:space="preserve">Milestone</t>
  </si>
  <si>
    <t xml:space="preserve">Sprint</t>
  </si>
  <si>
    <t xml:space="preserve">Status</t>
  </si>
  <si>
    <t xml:space="preserve">Owner</t>
  </si>
  <si>
    <t xml:space="preserve">GitHub #</t>
  </si>
  <si>
    <t xml:space="preserve">Notes</t>
  </si>
  <si>
    <t xml:space="preserve">OFF-01</t>
  </si>
  <si>
    <t xml:space="preserve">OFF</t>
  </si>
  <si>
    <t xml:space="preserve">Offline &amp; sync</t>
  </si>
  <si>
    <t xml:space="preserve">Installable PWA</t>
  </si>
  <si>
    <t xml:space="preserve">Grace (parent)</t>
  </si>
  <si>
    <t xml:space="preserve">As Grace (parent), I want to install the app to my tablet's home screen, so that it opens like a normal app.</t>
  </si>
  <si>
    <t xml:space="preserve">1. GIVEN I visit the site on Android Chrome
   WHEN I choose Install
   THEN it installs with the app icon and opens full-screen</t>
  </si>
  <si>
    <t xml:space="preserve">Must</t>
  </si>
  <si>
    <t xml:space="preserve">S</t>
  </si>
  <si>
    <t xml:space="preserve">MVP</t>
  </si>
  <si>
    <t xml:space="preserve">S0</t>
  </si>
  <si>
    <t xml:space="preserve">C01</t>
  </si>
  <si>
    <t xml:space="preserve">To do</t>
  </si>
  <si>
    <t xml:space="preserve">Steve</t>
  </si>
  <si>
    <t xml:space="preserve">CNT-01</t>
  </si>
  <si>
    <t xml:space="preserve">CNT</t>
  </si>
  <si>
    <t xml:space="preserve">Content &amp; subjects</t>
  </si>
  <si>
    <t xml:space="preserve">Content schema and validation</t>
  </si>
  <si>
    <t xml:space="preserve">Steve (developer)</t>
  </si>
  <si>
    <t xml:space="preserve">As Steve (developer), I want a JSON schema for items, units, lessons, trails, buddy scripts and badges, validated in CI, so that content can be added safely without code changes.</t>
  </si>
  <si>
    <t xml:space="preserve">1. GIVEN a unit JSON is missing a required field
   WHEN CI runs
   THEN validation fails with the file and field named
2. GIVEN an asset referenced in a unit is missing
   WHEN CI runs
   THEN validation fails</t>
  </si>
  <si>
    <t xml:space="preserve">M</t>
  </si>
  <si>
    <t xml:space="preserve">SAF-01</t>
  </si>
  <si>
    <t xml:space="preserve">SAF</t>
  </si>
  <si>
    <t xml:space="preserve">Privacy, safety &amp; compliance</t>
  </si>
  <si>
    <t xml:space="preserve">Minimal child data</t>
  </si>
  <si>
    <t xml:space="preserve">As Grace (parent), I want only a nickname, birth month and year and avatar stored about my child, so that their privacy is protected.</t>
  </si>
  <si>
    <t xml:space="preserve">1. GIVEN a learner profile is created
   WHEN it's stored
   THEN no surname, email, photo of the child, location or free text is collected</t>
  </si>
  <si>
    <t xml:space="preserve">P04</t>
  </si>
  <si>
    <t xml:space="preserve">SAF-06</t>
  </si>
  <si>
    <t xml:space="preserve">No third-party trackers</t>
  </si>
  <si>
    <t xml:space="preserve">As Steve (developer), I want a CI check that blocks third-party analytics and ad SDKs, so that children are never tracked.</t>
  </si>
  <si>
    <t xml:space="preserve">1. GIVEN a PR adds a dependency on a known analytics/ad SDK
   WHEN CI runs
   THEN the build fails with an explanation</t>
  </si>
  <si>
    <t xml:space="preserve">OPS-01</t>
  </si>
  <si>
    <t xml:space="preserve">OPS</t>
  </si>
  <si>
    <t xml:space="preserve">Platform &amp; DevOps</t>
  </si>
  <si>
    <t xml:space="preserve">Monorepo and CI</t>
  </si>
  <si>
    <t xml:space="preserve">As Steve (developer), I want a pnpm + Turborepo monorepo with lint, tests and content validation on every PR, so that broken code never reaches main.</t>
  </si>
  <si>
    <t xml:space="preserve">1. GIVEN I open a PR
   WHEN CI runs
   THEN lint, unit, component, API and content checks run and block merge on failure</t>
  </si>
  <si>
    <t xml:space="preserve">OPS-02</t>
  </si>
  <si>
    <t xml:space="preserve">Preview deploys</t>
  </si>
  <si>
    <t xml:space="preserve">As Steve (developer), I want a preview URL for every PR, so that I can check changes on the tablet before merging.</t>
  </si>
  <si>
    <t xml:space="preserve">1. GIVEN I open a PR touching apps/web
   WHEN the preview deploys
   THEN the PR shows a link and Playwright smoke tests run against it</t>
  </si>
  <si>
    <t xml:space="preserve">OPS-03</t>
  </si>
  <si>
    <t xml:space="preserve">API deploy to the VPS</t>
  </si>
  <si>
    <t xml:space="preserve">As Steve (developer), I want API images built and deployed to the VPS with Docker Compose, so that deploys are one step.</t>
  </si>
  <si>
    <t xml:space="preserve">1. GIVEN I merge to main
   WHEN CI runs
   THEN the image is pushed to GHCR and the staging stack pulls and restarts with a health check
2. GIVEN a tag is pushed
   WHEN the release job runs
   THEN the database is backed up, migrations run, and production updates</t>
  </si>
  <si>
    <t xml:space="preserve">OPS-04</t>
  </si>
  <si>
    <t xml:space="preserve">Backups and restore drills</t>
  </si>
  <si>
    <t xml:space="preserve">As Steve (developer), I want automated database backups to R2 and a monthly restore test, so that I can recover from failure.</t>
  </si>
  <si>
    <t xml:space="preserve">1. GIVEN it's 02:00
   WHEN the backup job runs
   THEN a compressed dump is uploaded to R2 with 30-day retention
2. GIVEN the monthly drill runs
   WHEN a backup is restored to a scratch database
   THEN row counts match and the result is logged</t>
  </si>
  <si>
    <t xml:space="preserve">LOC-01</t>
  </si>
  <si>
    <t xml:space="preserve">LOC</t>
  </si>
  <si>
    <t xml:space="preserve">Languages &amp; localisation</t>
  </si>
  <si>
    <t xml:space="preserve">Every string ready for translation</t>
  </si>
  <si>
    <t xml:space="preserve">As Steve (developer), I want all UI text, buddy lines and content words stored by key in language files, so that adding a language later needs translation work only, not code changes.</t>
  </si>
  <si>
    <t xml:space="preserve">1. GIVEN a component contains a hard-coded user-facing string
   WHEN CI runs the i18n lint
   THEN the PR fails naming the file and line
2. GIVEN a key is missing in a non-English language
   WHEN the app renders it
   THEN the English text is shown and a warning is logged in development</t>
  </si>
  <si>
    <t xml:space="preserve">LES-01</t>
  </si>
  <si>
    <t xml:space="preserve">LES</t>
  </si>
  <si>
    <t xml:space="preserve">Lessons &amp; exercises</t>
  </si>
  <si>
    <t xml:space="preserve">Lesson runner</t>
  </si>
  <si>
    <t xml:space="preserve">Amani (Seedling)</t>
  </si>
  <si>
    <t xml:space="preserve">As Amani (Seedling), I want a short lesson of 5–8 quick activities with a progress bar, so that I finish before I get bored.</t>
  </si>
  <si>
    <t xml:space="preserve">1. GIVEN I tap a lesson stone
   WHEN the lesson starts
   THEN a progress bar shows activities left, and each activity renders the exercise type from the lesson spec
2. GIVEN I tap the exit button
   WHEN I confirm with the buddy
   THEN I return to the trail and partial progress is saved for answered items</t>
  </si>
  <si>
    <t xml:space="preserve">S1</t>
  </si>
  <si>
    <t xml:space="preserve">C07</t>
  </si>
  <si>
    <t xml:space="preserve">LES-02</t>
  </si>
  <si>
    <t xml:space="preserve">Exercise: listen &amp; tap</t>
  </si>
  <si>
    <t xml:space="preserve">As Amani (Seedling), I want to hear a word and tap the matching picture, so that I learn without reading.</t>
  </si>
  <si>
    <t xml:space="preserve">1. GIVEN the exercise starts
   WHEN the prompt plays
   THEN 2–4 pictures show depending on band and the prompt can be replayed with a speaker button
2. GIVEN I tap the right picture
   WHEN it's checked
   THEN it's marked correct with sound and the buddy reacts</t>
  </si>
  <si>
    <t xml:space="preserve">LES-03</t>
  </si>
  <si>
    <t xml:space="preserve">Exercise: match pairs</t>
  </si>
  <si>
    <t xml:space="preserve">Zawadi (Sprout)</t>
  </si>
  <si>
    <t xml:space="preserve">As Zawadi (Sprout), I want to match pictures with words or sounds by dragging or tapping, so that I connect what I see and hear.</t>
  </si>
  <si>
    <t xml:space="preserve">1. GIVEN 3–5 pairs are shown
   WHEN I drag or tap-tap a picture to its partner
   THEN a correct pair locks together; a wrong pair springs back with a hint after 2 misses</t>
  </si>
  <si>
    <t xml:space="preserve">C08</t>
  </si>
  <si>
    <t xml:space="preserve">LES-04</t>
  </si>
  <si>
    <t xml:space="preserve">Exercise: count</t>
  </si>
  <si>
    <t xml:space="preserve">As Amani (Seedling), I want to count objects and tap the number, so that I practise counting.</t>
  </si>
  <si>
    <t xml:space="preserve">1. GIVEN objects are shown
   WHEN I tap each object
   THEN it is highlighted and counted aloud; then I tap the matching numeral</t>
  </si>
  <si>
    <t xml:space="preserve">LES-05</t>
  </si>
  <si>
    <t xml:space="preserve">Exercise: name it</t>
  </si>
  <si>
    <t xml:space="preserve">Leo (Explorer)</t>
  </si>
  <si>
    <t xml:space="preserve">As Leo (Explorer), I want to see a picture and choose its name, so that I practise recognising words.</t>
  </si>
  <si>
    <t xml:space="preserve">1. GIVEN I'm a reader (Explorer)
   WHEN the exercise shows
   THEN options are written words; for non-readers the options are spoken on tap</t>
  </si>
  <si>
    <t xml:space="preserve">LES-16</t>
  </si>
  <si>
    <t xml:space="preserve">Lesson complete screen</t>
  </si>
  <si>
    <t xml:space="preserve">As Zawadi (Sprout), I want a finish screen with my stars and treasures, so that I know how I did and feel rewarded.</t>
  </si>
  <si>
    <t xml:space="preserve">1. GIVEN I finish the last activity
   WHEN the end screen shows
   THEN 1–3 stars based on first-try accuracy, treasures earned, and buttons for 'Next lesson' and 'Back to trail'
2. GIVEN I earned a badge in the lesson
   WHEN the end screen finishes
   THEN the badge celebration plays next</t>
  </si>
  <si>
    <t xml:space="preserve">C12</t>
  </si>
  <si>
    <t xml:space="preserve">LES-17</t>
  </si>
  <si>
    <t xml:space="preserve">Everything is spoken for non-readers</t>
  </si>
  <si>
    <t xml:space="preserve">As Amani (Seedling), I want every instruction to be spoken, so that I can use the app before I can read.</t>
  </si>
  <si>
    <t xml:space="preserve">1. GIVEN I'm Seedling or Sprout band
   WHEN any screen shows an instruction
   THEN it's spoken automatically and a speaker button replays it</t>
  </si>
  <si>
    <t xml:space="preserve">ADP-01</t>
  </si>
  <si>
    <t xml:space="preserve">ADP</t>
  </si>
  <si>
    <t xml:space="preserve">Adaptive learning</t>
  </si>
  <si>
    <t xml:space="preserve">Difficulty adjusts automatically</t>
  </si>
  <si>
    <t xml:space="preserve">As Leo (Explorer), I want lessons to get harder when I'm doing well and easier when I'm struggling, so that I'm always challenged but not stuck.</t>
  </si>
  <si>
    <t xml:space="preserve">1. GIVEN I get 3 stars in two consecutive lessons in a subject
   WHEN the next lesson is generated
   THEN difficulty within my band increases (more options, fewer hints)
2. GIVEN I get 1 star in two consecutive lessons
   WHEN the next lesson is generated
   THEN difficulty decreases</t>
  </si>
  <si>
    <t xml:space="preserve">ADP-03</t>
  </si>
  <si>
    <t xml:space="preserve">Item mastery tracking</t>
  </si>
  <si>
    <t xml:space="preserve">As Steve (developer), I want a mastery score per child per item, so that weak items can be reviewed and shown to parents.</t>
  </si>
  <si>
    <t xml:space="preserve">1. GIVEN an item is answered
   WHEN the event is processed
   THEN seen and first-try-correct counts update and mastery is recalculated in the shared domain package</t>
  </si>
  <si>
    <t xml:space="preserve">ADP-04</t>
  </si>
  <si>
    <t xml:space="preserve">Spaced review</t>
  </si>
  <si>
    <t xml:space="preserve">As Zawadi (Sprout), I want things I found hard to come back later, so that I remember them.</t>
  </si>
  <si>
    <t xml:space="preserve">1. GIVEN an item's mastery is below threshold
   WHEN time passes
   THEN the item is scheduled for review at 1, 3, 7 and 14 days and included in a review lesson</t>
  </si>
  <si>
    <t xml:space="preserve">C05, C10</t>
  </si>
  <si>
    <t xml:space="preserve">RWD-01</t>
  </si>
  <si>
    <t xml:space="preserve">RWD</t>
  </si>
  <si>
    <t xml:space="preserve">Rewards: stars, treasures &amp; shop</t>
  </si>
  <si>
    <t xml:space="preserve">Earn stars per lesson</t>
  </si>
  <si>
    <t xml:space="preserve">As Zawadi (Sprout), I want to earn 1–3 stars for each lesson, so that I can see how well I did.</t>
  </si>
  <si>
    <t xml:space="preserve">1. GIVEN I finish a lesson
   WHEN my first-try accuracy is ≥90%
   THEN I get 3 stars
2. GIVEN accuracy is 60–89%
   WHEN I finish
   THEN I get 2 stars; below 60% I still get 1 star
3. GIVEN I replay and do better
   WHEN I finish
   THEN the stone keeps my best stars</t>
  </si>
  <si>
    <t xml:space="preserve">CNT-02</t>
  </si>
  <si>
    <t xml:space="preserve">Content packs and versioning</t>
  </si>
  <si>
    <t xml:space="preserve">As Steve (developer), I want content built into versioned packs per subject and uploaded to storage, so that new lessons can ship without an app release.</t>
  </si>
  <si>
    <t xml:space="preserve">1. GIVEN I run the content build for release 2027.03.1
   WHEN it finishes
   THEN per-subject packs and a manifest are uploaded and clients fetch updated packs on next launch</t>
  </si>
  <si>
    <t xml:space="preserve">CNT-09</t>
  </si>
  <si>
    <t xml:space="preserve">Content tooling for writers</t>
  </si>
  <si>
    <t xml:space="preserve">As Steve (developer), I want a content CLI to validate units, build packs, generate asset prompt sheets and normalise audio, so that making content is fast and consistent.</t>
  </si>
  <si>
    <t xml:space="preserve">1. GIVEN I run 'content-cli assets:prompts animals/farm'
   WHEN it finishes
   THEN a prompt sheet listing every item's illustration brief in the style guide is produced
2. GIVEN I run 'content-cli audio:normalise'
   WHEN it finishes
   THEN all clips are trimmed and loudness-normalised</t>
  </si>
  <si>
    <t xml:space="preserve">ONB-01</t>
  </si>
  <si>
    <t xml:space="preserve">ONB</t>
  </si>
  <si>
    <t xml:space="preserve">Onboarding &amp; accounts</t>
  </si>
  <si>
    <t xml:space="preserve">Choose parent or teacher path</t>
  </si>
  <si>
    <t xml:space="preserve">As Grace (parent), I want to say whether I'm a parent or a teacher when I first open the app, so that I'm taken through the set-up that fits me.</t>
  </si>
  <si>
    <t xml:space="preserve">1. GIVEN I open Trailbuddies for the first time
   WHEN I see the welcome screen
   THEN I can choose "I'm a parent" or "I'm a teacher" and a short animated intro of the buddies plays
2. GIVEN I chose "I'm a parent"
   WHEN I continue
   THEN I'm taken to sign-up with parent wording throughout</t>
  </si>
  <si>
    <t xml:space="preserve">S2</t>
  </si>
  <si>
    <t xml:space="preserve">P01</t>
  </si>
  <si>
    <t xml:space="preserve">ONB-02</t>
  </si>
  <si>
    <t xml:space="preserve">Sign up with email magic link</t>
  </si>
  <si>
    <t xml:space="preserve">As Grace (parent), I want to create an account with just my email and a one-time link, so that I don't have to invent and remember another password.</t>
  </si>
  <si>
    <t xml:space="preserve">1. GIVEN I enter a valid email on sign-up
   WHEN I tap "Send my link"
   THEN an email with a sign-in link valid for 15 minutes is sent and the screen tells me to check my inbox
2. GIVEN I open the link on the same or another device
   WHEN the link is valid
   THEN I'm signed in and continue onboarding where I left off
3. GIVEN the link has expired or was already used
   WHEN I open it
   THEN I see a friendly message and can request a new link</t>
  </si>
  <si>
    <t xml:space="preserve">P02, P07</t>
  </si>
  <si>
    <t xml:space="preserve">ONB-06</t>
  </si>
  <si>
    <t xml:space="preserve">Give verifiable parental consent</t>
  </si>
  <si>
    <t xml:space="preserve">As Grace (parent), I want to read a plain-language summary of what's collected and give consent, so that I know exactly what happens to my children's data before they play.</t>
  </si>
  <si>
    <t xml:space="preserve">1. GIVEN I reach the consent step
   WHEN I view it
   THEN I see what is collected, why, how long it's kept and my rights, in plain language with a link to the full policy
2. GIVEN I tick consent and complete the verification step required in my region
   WHEN I continue
   THEN a consent record with policy version, timestamp and method is stored
3. GIVEN I haven't consented
   WHEN I try to add a learner
   THEN I can't continue until consent is given</t>
  </si>
  <si>
    <t xml:space="preserve">P03</t>
  </si>
  <si>
    <t xml:space="preserve">ONB-07</t>
  </si>
  <si>
    <t xml:space="preserve">Add one or more learners</t>
  </si>
  <si>
    <t xml:space="preserve">As Grace (parent), I want to add each of my children with a first name or nickname, birth month and year and an avatar, so that each child gets their own trail and progress.</t>
  </si>
  <si>
    <t xml:space="preserve">1. GIVEN I'm on "Who's learning?"
   WHEN I add Amani (born Mar 2023) and Zawadi (born Jun 2020)
   THEN two profiles are created with age bands Seedling and Sprout set from their birth dates
2. GIVEN I enter a full name
   WHEN I save
   THEN I'm reminded that a nickname is enough and only the first name field is stored
3. GIVEN my plan's learner limit is reached
   WHEN I try to add another
   THEN I see the limit and an option to upgrade (behind the parent gate)</t>
  </si>
  <si>
    <t xml:space="preserve">ONB-11</t>
  </si>
  <si>
    <t xml:space="preserve">Hand over to the child</t>
  </si>
  <si>
    <t xml:space="preserve">As Grace (parent), I want a clear hand-over moment at the end of set-up, so that my child can start straight away without me navigating menus.</t>
  </si>
  <si>
    <t xml:space="preserve">1. GIVEN I finish onboarding
   WHEN I tap "Hand to Amani"
   THEN the app switches to the child experience and opens Meet the buddies for Amani
2. GIVEN I have several children
   WHEN I tap "Hand over"
   THEN the Who's playing? picker opens</t>
  </si>
  <si>
    <t xml:space="preserve">XS</t>
  </si>
  <si>
    <t xml:space="preserve">P06, C03</t>
  </si>
  <si>
    <t xml:space="preserve">ONB-14</t>
  </si>
  <si>
    <t xml:space="preserve">Sign out and session handling</t>
  </si>
  <si>
    <t xml:space="preserve">As Grace (parent), I want sessions to stay signed in on my devices until I sign out, so that I'm not asked to sign in every day but stay in control.</t>
  </si>
  <si>
    <t xml:space="preserve">1. GIVEN I'm signed in
   WHEN I return within 60 days
   THEN I remain signed in using a refresh token
2. GIVEN I choose "Sign out of all devices"
   WHEN I confirm
   THEN all refresh tokens are revoked and other devices return to the welcome screen</t>
  </si>
  <si>
    <t xml:space="preserve">P18</t>
  </si>
  <si>
    <t xml:space="preserve">FAM-01</t>
  </si>
  <si>
    <t xml:space="preserve">FAM</t>
  </si>
  <si>
    <t xml:space="preserve">Family &amp; learner profiles</t>
  </si>
  <si>
    <t xml:space="preserve">Who's playing? profile picker</t>
  </si>
  <si>
    <t xml:space="preserve">As Zawadi (Sprout), I want to tap my own avatar to start, so that I play on my own trail, not my brother's.</t>
  </si>
  <si>
    <t xml:space="preserve">1. GIVEN the family has two or more learners
   WHEN the child app opens
   THEN each learner's avatar and name is shown as a large button and a small 'Grown-ups' button sits in the corner
2. GIVEN I tap my avatar
   WHEN my profile has no picture password
   THEN my world map opens</t>
  </si>
  <si>
    <t xml:space="preserve">FAM-07</t>
  </si>
  <si>
    <t xml:space="preserve">Switch learner from inside the child app</t>
  </si>
  <si>
    <t xml:space="preserve">As Grace (parent), I want to switch the active learner quickly, so that siblings can take turns on one tablet.</t>
  </si>
  <si>
    <t xml:space="preserve">1. GIVEN a child is on their map
   WHEN they tap the avatar in the corner
   THEN the Who's playing? picker opens without passing the parent gate</t>
  </si>
  <si>
    <t xml:space="preserve">C04, C01</t>
  </si>
  <si>
    <t xml:space="preserve">MAP-01</t>
  </si>
  <si>
    <t xml:space="preserve">MAP</t>
  </si>
  <si>
    <t xml:space="preserve">World map &amp; learning trail</t>
  </si>
  <si>
    <t xml:space="preserve">World map of subjects</t>
  </si>
  <si>
    <t xml:space="preserve">As Amani (Seedling), I want a map where every subject is a place I can tap, so that I can choose what to learn by exploring.</t>
  </si>
  <si>
    <t xml:space="preserve">1. GIVEN I'm on my world map
   WHEN it loads
   THEN each available subject appears as an illustrated place with its name spoken when tapped once
2. GIVEN my parent picked interests
   WHEN the map loads
   THEN those subjects are placed nearest the start</t>
  </si>
  <si>
    <t xml:space="preserve">C04</t>
  </si>
  <si>
    <t xml:space="preserve">MAP-02</t>
  </si>
  <si>
    <t xml:space="preserve">Winding subject trail</t>
  </si>
  <si>
    <t xml:space="preserve">As Zawadi (Sprout), I want a winding path of stepping stones for each subject, so that I can see where I am and what comes next.</t>
  </si>
  <si>
    <t xml:space="preserve">1. GIVEN I tap Animals on the map
   WHEN the trail opens
   THEN units appear as stage banners and lessons as numbered stones along one continuous path, scrolled to my next lesson
2. GIVEN a lesson is completed
   WHEN I return to the trail
   THEN its stone shows 1–3 stars and the next stone glows</t>
  </si>
  <si>
    <t xml:space="preserve">L</t>
  </si>
  <si>
    <t xml:space="preserve">C05</t>
  </si>
  <si>
    <t xml:space="preserve">MAP-09</t>
  </si>
  <si>
    <t xml:space="preserve">Friendly first visit</t>
  </si>
  <si>
    <t xml:space="preserve">As Amani (Seedling), I want my first visit to the map to show me exactly where to start, so that I'm not confused by lots of places.</t>
  </si>
  <si>
    <t xml:space="preserve">1. GIVEN I have no progress yet
   WHEN my map opens
   THEN only the first subject place is highlighted, the buddy points to it and says 'Let's start here!', and other places are visible but quieter</t>
  </si>
  <si>
    <t xml:space="preserve">Should</t>
  </si>
  <si>
    <t xml:space="preserve">C29</t>
  </si>
  <si>
    <t xml:space="preserve">PAR-06</t>
  </si>
  <si>
    <t xml:space="preserve">PAR</t>
  </si>
  <si>
    <t xml:space="preserve">Parent dashboard &amp; controls</t>
  </si>
  <si>
    <t xml:space="preserve">Parent gate</t>
  </si>
  <si>
    <t xml:space="preserve">As Grace (parent), I want the grown-up zone behind a gate a young child can't pass, so that my child can't change settings or buy things.</t>
  </si>
  <si>
    <t xml:space="preserve">1. GIVEN a child taps 'Grown-ups'
   WHEN the gate shows
   THEN a sum such as 'What is 7 × 3?' with number buttons, or 'Hold for 3 seconds' as the accessible option, must be completed
2. GIVEN any learner on the account is 8 or older
   WHEN I open settings
   THEN I'm prompted to set a 4-digit PIN that replaces the sum</t>
  </si>
  <si>
    <t xml:space="preserve">C24</t>
  </si>
  <si>
    <t xml:space="preserve">OFF-03</t>
  </si>
  <si>
    <t xml:space="preserve">Offline play with outbox</t>
  </si>
  <si>
    <t xml:space="preserve">As Zawadi (Sprout), I want to play and earn rewards with no internet, so that nothing is lost.</t>
  </si>
  <si>
    <t xml:space="preserve">1. GIVEN the device is offline
   WHEN I complete lessons and buy an outfit
   THEN events are written to the local outbox and my map updates immediately
2. GIVEN the device reconnects
   WHEN sync runs
   THEN outbox events are sent in batches and acknowledged; none are duplicated</t>
  </si>
  <si>
    <t xml:space="preserve">OFF-04</t>
  </si>
  <si>
    <t xml:space="preserve">Sync across devices</t>
  </si>
  <si>
    <t xml:space="preserve">As Grace (parent), I want progress on any device to appear on all others, so that my children can switch devices.</t>
  </si>
  <si>
    <t xml:space="preserve">1. GIVEN Zawadi plays on the tablet
   WHEN I open my phone
   THEN her new stars and badges show after sync (within a minute when online)</t>
  </si>
  <si>
    <t xml:space="preserve">P08</t>
  </si>
  <si>
    <t xml:space="preserve">OFF-05</t>
  </si>
  <si>
    <t xml:space="preserve">Conflict handling for edits</t>
  </si>
  <si>
    <t xml:space="preserve">As Steve (developer), I want grown-up edits to merge with last-write-wins using server timestamps, so that edits from two devices don't corrupt data.</t>
  </si>
  <si>
    <t xml:space="preserve">1. GIVEN a lesson is edited offline on two devices
   WHEN both sync
   THEN the later edit wins and the earlier is kept in history for 30 days</t>
  </si>
  <si>
    <t xml:space="preserve">BUD-01</t>
  </si>
  <si>
    <t xml:space="preserve">BUD</t>
  </si>
  <si>
    <t xml:space="preserve">Buddy tutor</t>
  </si>
  <si>
    <t xml:space="preserve">Choose a buddy</t>
  </si>
  <si>
    <t xml:space="preserve">As Amani (Seedling), I want to meet the buddies and pick the one I like, so that I have a friend who helps me learn.</t>
  </si>
  <si>
    <t xml:space="preserve">1. GIVEN I'm a new learner
   WHEN Meet the buddies opens
   THEN each buddy waves and introduces itself in its own voice when tapped
2. GIVEN I tap "Pick me!" on Zip
   WHEN I confirm
   THEN Zip becomes my buddy and appears on my map
3. GIVEN only one buddy is available (MVP)
   WHEN I view the screen
   THEN other buddies show as 'coming soon' and can't be selected</t>
  </si>
  <si>
    <t xml:space="preserve">S3</t>
  </si>
  <si>
    <t xml:space="preserve">C03</t>
  </si>
  <si>
    <t xml:space="preserve">BUD-03</t>
  </si>
  <si>
    <t xml:space="preserve">Buddy greets me by name</t>
  </si>
  <si>
    <t xml:space="preserve">As Amani (Seedling), I want my buddy to say hello using my name, so that it feels like my own friend.</t>
  </si>
  <si>
    <t xml:space="preserve">1. GIVEN I open my map
   WHEN it's my first visit today
   THEN the buddy greets me by name (parent recording if one exists, otherwise the voice pack or device voice) and mentions what we did last time</t>
  </si>
  <si>
    <t xml:space="preserve">BUD-04</t>
  </si>
  <si>
    <t xml:space="preserve">Buddy introduces new concepts</t>
  </si>
  <si>
    <t xml:space="preserve">As Amani (Seedling), I want my buddy to show and say each new thing before asking me, so that I'm never asked something I haven't seen.</t>
  </si>
  <si>
    <t xml:space="preserve">1. GIVEN a lesson contains an item I haven't seen
   WHEN the item first appears
   THEN the buddy shows the picture, says the word and one fun fact before any question about it</t>
  </si>
  <si>
    <t xml:space="preserve">BUD-05</t>
  </si>
  <si>
    <t xml:space="preserve">Hint ladder on wrong answers</t>
  </si>
  <si>
    <t xml:space="preserve">As Amani (Seedling), I want gentle hints when I get something wrong, so that I never feel I've failed.</t>
  </si>
  <si>
    <t xml:space="preserve">1. GIVEN I tap a wrong answer
   WHEN it's my first miss on this question
   THEN there's no buzzer; the buddy repeats the question kindly
2. GIVEN it's my second miss
   WHEN the question resets
   THEN one wrong option disappears and the buddy points towards the right area
3. GIVEN it's my third miss
   WHEN the hint plays
   THEN the buddy shows and says the answer, I tap it to continue, and the item is scheduled for review</t>
  </si>
  <si>
    <t xml:space="preserve">C11</t>
  </si>
  <si>
    <t xml:space="preserve">BUD-06</t>
  </si>
  <si>
    <t xml:space="preserve">Varied celebrations</t>
  </si>
  <si>
    <t xml:space="preserve">As Leo (Explorer), I want the buddy's praise to change and not slow me down, so that it stays fun and doesn't get annoying.</t>
  </si>
  <si>
    <t xml:space="preserve">1. GIVEN I answer correctly
   WHEN the buddy reacts
   THEN a reaction is chosen that wasn't used in my last answer, and I can tap to continue before it finishes
2. GIVEN I'm Explorer band or older
   WHEN I answer several in a row
   THEN celebrations are shorter</t>
  </si>
  <si>
    <t xml:space="preserve">C07, C12</t>
  </si>
  <si>
    <t xml:space="preserve">BUD-08</t>
  </si>
  <si>
    <t xml:space="preserve">Buddy script table</t>
  </si>
  <si>
    <t xml:space="preserve">As Steve (developer), I want buddy lines to come from a script table keyed by event, buddy and language, so that writers can add lines without code changes.</t>
  </si>
  <si>
    <t xml:space="preserve">1. GIVEN a new line is added to the script table for event 'lesson_perfect'
   WHEN content is rebuilt
   THEN the line can be chosen at runtime without app code changes
2. GIVEN an event has no line for the chosen buddy
   WHEN it fires
   THEN a generic fallback line is used and a warning is logged in development</t>
  </si>
  <si>
    <t xml:space="preserve">MAP-03</t>
  </si>
  <si>
    <t xml:space="preserve">Locked and unlocked units</t>
  </si>
  <si>
    <t xml:space="preserve">As Zawadi (Sprout), I want later units to unlock when I pass the checkpoint, so that I build up step by step.</t>
  </si>
  <si>
    <t xml:space="preserve">1. GIVEN I haven't passed the Farm animals checkpoint
   WHEN I tap a Wild animals stone
   THEN the buddy says it unlocks after the trophy and points to it
2. GIVEN I pass the checkpoint
   WHEN I return to the trail
   THEN the next unit's stones unlock with an animation</t>
  </si>
  <si>
    <t xml:space="preserve">C05, C14, C29</t>
  </si>
  <si>
    <t xml:space="preserve">LES-06</t>
  </si>
  <si>
    <t xml:space="preserve">Exercise: compare</t>
  </si>
  <si>
    <t xml:space="preserve">As Zawadi (Sprout), I want to choose which group has more, fewer or the same, so that I understand comparing.</t>
  </si>
  <si>
    <t xml:space="preserve">1. GIVEN two groups are shown
   WHEN I tap the bigger group
   THEN it's checked and the buddy explains by counting both</t>
  </si>
  <si>
    <t xml:space="preserve">LES-07</t>
  </si>
  <si>
    <t xml:space="preserve">Exercise: sequence</t>
  </si>
  <si>
    <t xml:space="preserve">As Zawadi (Sprout), I want to put 3–5 cards in order, so that I learn routines, life cycles and order.</t>
  </si>
  <si>
    <t xml:space="preserve">1. GIVEN cards are shuffled
   WHEN I drag them into slots
   THEN the order is checked when the last slot is filled and wrong cards wiggle</t>
  </si>
  <si>
    <t xml:space="preserve">LES-08</t>
  </si>
  <si>
    <t xml:space="preserve">Exercise: sort into bins</t>
  </si>
  <si>
    <t xml:space="preserve">As Zawadi (Sprout), I want to drag items into 2–4 labelled baskets, so that I learn categories like land, water and air.</t>
  </si>
  <si>
    <t xml:space="preserve">1. GIVEN items and labelled bins are shown
   WHEN I drop an item in a bin
   THEN a correct drop stays; a wrong drop bounces back with the bin's label spoken</t>
  </si>
  <si>
    <t xml:space="preserve">C09</t>
  </si>
  <si>
    <t xml:space="preserve">LES-09</t>
  </si>
  <si>
    <t xml:space="preserve">Exercise: odd one out</t>
  </si>
  <si>
    <t xml:space="preserve">As Leo (Explorer), I want to spot the item that doesn't belong, so that I think about categories.</t>
  </si>
  <si>
    <t xml:space="preserve">1. GIVEN 4 items are shown
   WHEN I tap the odd one
   THEN the buddy explains why it doesn't belong</t>
  </si>
  <si>
    <t xml:space="preserve">LES-10</t>
  </si>
  <si>
    <t xml:space="preserve">Exercise: case-match</t>
  </si>
  <si>
    <t xml:space="preserve">As Zawadi (Sprout), I want to match capital and small letters, so that I learn both forms.</t>
  </si>
  <si>
    <t xml:space="preserve">1. GIVEN letter tiles are shown
   WHEN I match A to a
   THEN the pair locks and the letter sound plays</t>
  </si>
  <si>
    <t xml:space="preserve">LES-11</t>
  </si>
  <si>
    <t xml:space="preserve">Exercise: build a word</t>
  </si>
  <si>
    <t xml:space="preserve">As Zawadi (Sprout), I want to drag letter tiles to spell a word, so that I practise spelling.</t>
  </si>
  <si>
    <t xml:space="preserve">1. GIVEN a picture and empty slots are shown
   WHEN I drag letters into slots
   THEN each letter's sound plays and the word is read when complete</t>
  </si>
  <si>
    <t xml:space="preserve">C07, C27</t>
  </si>
  <si>
    <t xml:space="preserve">BUD-07</t>
  </si>
  <si>
    <t xml:space="preserve">Effort-based encouragement</t>
  </si>
  <si>
    <t xml:space="preserve">As Zawadi (Sprout), I want my buddy to notice when I kept trying, so that I feel proud even after a tricky lesson.</t>
  </si>
  <si>
    <t xml:space="preserve">1. GIVEN I finish a lesson with 3+ hints used
   WHEN the end screen shows
   THEN the buddy praises effort (e.g. 'You kept going!') rather than the score</t>
  </si>
  <si>
    <t xml:space="preserve">S4</t>
  </si>
  <si>
    <t xml:space="preserve">BUD-09</t>
  </si>
  <si>
    <t xml:space="preserve">Buddy wears shop items</t>
  </si>
  <si>
    <t xml:space="preserve">As Zawadi (Sprout), I want my buddy to wear the outfit I bought everywhere, so that my buddy feels like mine.</t>
  </si>
  <si>
    <t xml:space="preserve">1. GIVEN I equip a hat in the shop
   WHEN I return to the map or a lesson
   THEN the buddy is shown wearing the hat
2. GIVEN I play on another device
   WHEN it syncs
   THEN the same outfit is shown</t>
  </si>
  <si>
    <t xml:space="preserve">C18, C04</t>
  </si>
  <si>
    <t xml:space="preserve">MAP-07</t>
  </si>
  <si>
    <t xml:space="preserve">Review stones inserted automatically</t>
  </si>
  <si>
    <t xml:space="preserve">As Zawadi (Sprout), I want review lessons to appear on my trail when I need practice, so that I don't forget things.</t>
  </si>
  <si>
    <t xml:space="preserve">1. GIVEN some items are due for review
   WHEN I open the trail
   THEN a review stone (different shape) appears before my next new lesson</t>
  </si>
  <si>
    <t xml:space="preserve">GAM-01</t>
  </si>
  <si>
    <t xml:space="preserve">GAM</t>
  </si>
  <si>
    <t xml:space="preserve">Games</t>
  </si>
  <si>
    <t xml:space="preserve">Jigsaw puzzle from any picture</t>
  </si>
  <si>
    <t xml:space="preserve">As Amani (Seedling), I want to do a jigsaw of a picture, so that I have fun and practise problem-solving.</t>
  </si>
  <si>
    <t xml:space="preserve">1. GIVEN a jigsaw opens
   WHEN my band is Seedling
   THEN the picture splits into 4 pieces with a faint outline to guide placement
2. GIVEN I'm Sprout or Explorer
   WHEN it opens
   THEN 9 or 16 pieces are used
3. GIVEN I place the last piece
   WHEN it snaps in
   THEN the full picture is shown, named aloud, and treasures are awarded</t>
  </si>
  <si>
    <t xml:space="preserve">C15</t>
  </si>
  <si>
    <t xml:space="preserve">GAM-03</t>
  </si>
  <si>
    <t xml:space="preserve">Memory flip</t>
  </si>
  <si>
    <t xml:space="preserve">As Zawadi (Sprout), I want to flip cards and find matching pairs, so that I practise memory with things I've learnt.</t>
  </si>
  <si>
    <t xml:space="preserve">1. GIVEN a memory game starts with items from a completed unit
   WHEN I flip two cards
   THEN a match stays face up with the word spoken; a non-match flips back after 1 second
2. GIVEN I'm Seedling
   WHEN the game starts
   THEN 6 cards are used; Sprout 8; Explorer 12</t>
  </si>
  <si>
    <t xml:space="preserve">C16</t>
  </si>
  <si>
    <t xml:space="preserve">GAM-04</t>
  </si>
  <si>
    <t xml:space="preserve">Games corner</t>
  </si>
  <si>
    <t xml:space="preserve">As Leo (Explorer), I want a place to choose any unlocked game, so that I can play with what I've learnt.</t>
  </si>
  <si>
    <t xml:space="preserve">1. GIVEN I open Games corner
   WHEN it loads
   THEN unlocked games show with the topic they'll use; locked games show what unlocks them
2. GIVEN I start a game
   WHEN I choose a topic I've completed
   THEN the game uses that topic's items</t>
  </si>
  <si>
    <t xml:space="preserve">C17</t>
  </si>
  <si>
    <t xml:space="preserve">GAM-05</t>
  </si>
  <si>
    <t xml:space="preserve">Games use any item set</t>
  </si>
  <si>
    <t xml:space="preserve">As Steve (developer), I want every game to accept any item set (built-in or custom), so that new content works in games without code changes.</t>
  </si>
  <si>
    <t xml:space="preserve">1. GIVEN a custom lesson with 6 cards exists
   WHEN the memory game is launched with it
   THEN the game runs using those cards' images and audio</t>
  </si>
  <si>
    <t xml:space="preserve">RWD-02</t>
  </si>
  <si>
    <t xml:space="preserve">Stars never decrease</t>
  </si>
  <si>
    <t xml:space="preserve">As Zawadi (Sprout), I want stars to be a record of learning that's never spent, so that my progress never goes backwards.</t>
  </si>
  <si>
    <t xml:space="preserve">1. GIVEN I buy something in the shop
   WHEN the purchase completes
   THEN my star total is unchanged and only treasures are deducted</t>
  </si>
  <si>
    <t xml:space="preserve">C18</t>
  </si>
  <si>
    <t xml:space="preserve">RWD-03</t>
  </si>
  <si>
    <t xml:space="preserve">Earn treasures</t>
  </si>
  <si>
    <t xml:space="preserve">As Zawadi (Sprout), I want to earn treasures for lessons, daily goals, perfect lessons, badges and games, so that I can save up for things.</t>
  </si>
  <si>
    <t xml:space="preserve">1. GIVEN I complete a lesson
   WHEN rewards are calculated
   THEN treasures are added according to the economy config and a count-up animation plays
2. GIVEN I've hit today's earning cap
   WHEN I complete another lesson
   THEN stars are still awarded but treasures are not, without telling me I'm capped</t>
  </si>
  <si>
    <t xml:space="preserve">RWD-04</t>
  </si>
  <si>
    <t xml:space="preserve">Wallet from transactions</t>
  </si>
  <si>
    <t xml:space="preserve">As Steve (developer), I want the treasure balance to be computed from an append-only transaction log, so that balances never desync across devices.</t>
  </si>
  <si>
    <t xml:space="preserve">1. GIVEN treasures were earned on two devices offline
   WHEN both sync
   THEN the balance equals the sum of all transactions
2. GIVEN a spend would take the server balance below zero after merge
   WHEN sync runs
   THEN the spend is reversed, the item returned to the shop and the child sees a gentle message</t>
  </si>
  <si>
    <t xml:space="preserve">RWD-05</t>
  </si>
  <si>
    <t xml:space="preserve">Buddy shop</t>
  </si>
  <si>
    <t xml:space="preserve">As Zawadi (Sprout), I want to spend treasures on outfits for my buddy, so that I can make my buddy look the way I like.</t>
  </si>
  <si>
    <t xml:space="preserve">1. GIVEN I open the shop
   WHEN it loads
   THEN items show price, a 'try on' preview and whether I can afford them
2. GIVEN I tap Buy on an item I can afford
   WHEN I confirm
   THEN treasures are deducted, the item goes to my wardrobe and the buddy wears it
3. GIVEN I can't afford it
   WHEN I tap it
   THEN the buddy says how many more treasures I need and offers to add it to my wishes</t>
  </si>
  <si>
    <t xml:space="preserve">RWD-08</t>
  </si>
  <si>
    <t xml:space="preserve">Daily goal and gentle streak</t>
  </si>
  <si>
    <t xml:space="preserve">As Zawadi (Sprout), I want a daily goal and a streak that doesn't punish me for missing a day, so that I want to come back without feeling bad.</t>
  </si>
  <si>
    <t xml:space="preserve">1. GIVEN my daily goal is 2 lessons
   WHEN I finish my second lesson
   THEN today fills in on the week strip and the buddy cheers
2. GIVEN I miss a day
   WHEN I return
   THEN up to 2 rest days a week are used automatically and nothing I've earned is lost</t>
  </si>
  <si>
    <t xml:space="preserve">C04, C12</t>
  </si>
  <si>
    <t xml:space="preserve">RWD-09</t>
  </si>
  <si>
    <t xml:space="preserve">Economy config is tunable</t>
  </si>
  <si>
    <t xml:space="preserve">As Steve (developer), I want earning amounts, caps and prices to live in one config, so that I can balance the economy without code changes.</t>
  </si>
  <si>
    <t xml:space="preserve">1. GIVEN I change the treasures per perfect lesson in the config
   WHEN content is released
   THEN new lessons award the new amount on all clients</t>
  </si>
  <si>
    <t xml:space="preserve">BDG-01</t>
  </si>
  <si>
    <t xml:space="preserve">BDG</t>
  </si>
  <si>
    <t xml:space="preserve">Badges &amp; achievements</t>
  </si>
  <si>
    <t xml:space="preserve">Badge rule engine</t>
  </si>
  <si>
    <t xml:space="preserve">As Steve (developer), I want badge rules evaluated on the device after every lesson and game, so that badges appear instantly, even offline.</t>
  </si>
  <si>
    <t xml:space="preserve">1. GIVEN a badge rule 'complete 10 three-star lessons' exists
   WHEN the 10th 3-star lesson completes offline
   THEN the badge is awarded immediately and an award event is queued for sync
2. GIVEN the same badge was already awarded on another device
   WHEN sync merges
   THEN the learner has the badge once</t>
  </si>
  <si>
    <t xml:space="preserve">BDG-02</t>
  </si>
  <si>
    <t xml:space="preserve">15 built-in badges for the MVP</t>
  </si>
  <si>
    <t xml:space="preserve">As Zawadi (Sprout), I want badges for learning milestones, mastery, effort, consistency and exploring, so that I have goals to aim for.</t>
  </si>
  <si>
    <t xml:space="preserve">1. GIVEN the MVP is released
   WHEN I open the badge book
   THEN 15 badges across those categories are listed, earned ones in colour and unearned ones as silhouettes with how to earn them spoken on tap</t>
  </si>
  <si>
    <t xml:space="preserve">C20</t>
  </si>
  <si>
    <t xml:space="preserve">BDG-03</t>
  </si>
  <si>
    <t xml:space="preserve">Badge celebration</t>
  </si>
  <si>
    <t xml:space="preserve">As Amani (Seedling), I want a big celebration when I earn a badge, so that I feel proud.</t>
  </si>
  <si>
    <t xml:space="preserve">1. GIVEN I earn a badge
   WHEN the lesson or game ends
   THEN a full-screen celebration plays with the buddy's voice line, the badge flies into the badge book, and treasures count up</t>
  </si>
  <si>
    <t xml:space="preserve">C13</t>
  </si>
  <si>
    <t xml:space="preserve">MAP-06</t>
  </si>
  <si>
    <t xml:space="preserve">Family &amp; Class Island</t>
  </si>
  <si>
    <t xml:space="preserve">As Zawadi (Sprout), I want a special island on my map for lessons my family and teacher made, so that I can find them easily.</t>
  </si>
  <si>
    <t xml:space="preserve">1. GIVEN my parent assigned me a custom lesson
   WHEN I open my map
   THEN Family Island appears with a glowing marker for the new lesson
2. GIVEN my teacher assigned work
   WHEN I open my map
   THEN a 'From your teacher' signpost appears on Class Island with due work first</t>
  </si>
  <si>
    <t xml:space="preserve">S5</t>
  </si>
  <si>
    <t xml:space="preserve">C22, C04</t>
  </si>
  <si>
    <t xml:space="preserve">GAM-02</t>
  </si>
  <si>
    <t xml:space="preserve">Jigsaw from a parent's photo</t>
  </si>
  <si>
    <t xml:space="preserve">As Grace (parent), I want to turn one of my photos into a jigsaw, so that my child can puzzle over our own dog or grandparents.</t>
  </si>
  <si>
    <t xml:space="preserve">1. GIVEN I use the 'Picture puzzle' template with my photo
   WHEN my child opens it
   THEN the jigsaw uses my photo and after completion asks the question I set (e.g. 'Who is this?')</t>
  </si>
  <si>
    <t xml:space="preserve">C15, P12</t>
  </si>
  <si>
    <t xml:space="preserve">BLD-01</t>
  </si>
  <si>
    <t xml:space="preserve">BLD</t>
  </si>
  <si>
    <t xml:space="preserve">Lesson Builder &amp; custom trails</t>
  </si>
  <si>
    <t xml:space="preserve">Create a card with photo, word and voice</t>
  </si>
  <si>
    <t xml:space="preserve">As Grace (parent), I want to add a card with a photo (camera or upload), a label and my voice, so that I can teach my child about our world.</t>
  </si>
  <si>
    <t xml:space="preserve">1. GIVEN I open 'Add card'
   WHEN I take a photo
   THEN it's square-cropped, resized and EXIF-stripped on my device and shown immediately
2. GIVEN I hold the record button and say 'Daisy the cow'
   WHEN I release
   THEN a clip of up to 10 seconds is saved, trimmed and playable
3. GIVEN I don't record
   WHEN the card is used
   THEN the label is spoken by the voice pack or device voice</t>
  </si>
  <si>
    <t xml:space="preserve">P11</t>
  </si>
  <si>
    <t xml:space="preserve">BLD-02</t>
  </si>
  <si>
    <t xml:space="preserve">Pick from the illustration library</t>
  </si>
  <si>
    <t xml:space="preserve">Ms Priya (teacher)</t>
  </si>
  <si>
    <t xml:space="preserve">As Ms Priya (teacher), I want to pick a picture from the built-in illustration library, so that I can make lessons without taking photos.</t>
  </si>
  <si>
    <t xml:space="preserve">1. GIVEN I tap 'Library' on a card
   WHEN I search 'giraffe'
   THEN matching illustrations show and the chosen one is attached</t>
  </si>
  <si>
    <t xml:space="preserve">BLD-04</t>
  </si>
  <si>
    <t xml:space="preserve">Choose a lesson template</t>
  </si>
  <si>
    <t xml:space="preserve">As Grace (parent), I want to choose a template like 'Learn the names', 'Sort them' or 'Picture puzzle', so that the app builds the activities for me.</t>
  </si>
  <si>
    <t xml:space="preserve">1. GIVEN I have 6 cards
   WHEN I choose 'Learn the names'
   THEN a lesson of explore → listen &amp; tap → match → name it is generated
2. GIVEN a template needs something missing (e.g. Sort needs 2+ categories)
   WHEN I select it
   THEN I'm told what to add</t>
  </si>
  <si>
    <t xml:space="preserve">P12</t>
  </si>
  <si>
    <t xml:space="preserve">BLD-07</t>
  </si>
  <si>
    <t xml:space="preserve">Preview as child</t>
  </si>
  <si>
    <t xml:space="preserve">As Grace (parent), I want to play my lesson as my child would before assigning it, so that I can check it works.</t>
  </si>
  <si>
    <t xml:space="preserve">1. GIVEN I tap 'Preview as child'
   WHEN the preview runs
   THEN the lesson plays in the child UI with a 'Preview' banner and no progress or rewards are recorded</t>
  </si>
  <si>
    <t xml:space="preserve">BLD-08</t>
  </si>
  <si>
    <t xml:space="preserve">Assign a custom lesson to my children</t>
  </si>
  <si>
    <t xml:space="preserve">As Grace (parent), I want to choose which of my children get a lesson, so that each child gets what fits them.</t>
  </si>
  <si>
    <t xml:space="preserve">1. GIVEN I assign 'Our Pets' to Amani and Zawadi
   WHEN they open their maps
   THEN the lesson appears on Family Island for both</t>
  </si>
  <si>
    <t xml:space="preserve">P12, C22</t>
  </si>
  <si>
    <t xml:space="preserve">BLD-09</t>
  </si>
  <si>
    <t xml:space="preserve">Edit and version custom lessons</t>
  </si>
  <si>
    <t xml:space="preserve">As Ms Priya (teacher), I want to edit a lesson after it's been played, so that I can fix mistakes without breaking progress.</t>
  </si>
  <si>
    <t xml:space="preserve">1. GIVEN learners have progress on my lesson
   WHEN I add two cards
   THEN existing progress is kept (stable item IDs) and the new cards appear in the next session</t>
  </si>
  <si>
    <t xml:space="preserve">P10</t>
  </si>
  <si>
    <t xml:space="preserve">BLD-15</t>
  </si>
  <si>
    <t xml:space="preserve">Offline-first media upload</t>
  </si>
  <si>
    <t xml:space="preserve">As Grace (parent), I want my photos and recordings to work immediately and upload in the background, so that I never lose a card because the Wi-Fi dropped.</t>
  </si>
  <si>
    <t xml:space="preserve">1. GIVEN I'm offline
   WHEN I save a card with a photo
   THEN the card works on this device straight away and an upload is queued
2. GIVEN I reconnect
   WHEN the app is in the foreground or regains connectivity
   THEN queued uploads retry and the card switches to the cloud copy</t>
  </si>
  <si>
    <t xml:space="preserve">P11, P26</t>
  </si>
  <si>
    <t xml:space="preserve">BLD-16</t>
  </si>
  <si>
    <t xml:space="preserve">See and retry failed uploads</t>
  </si>
  <si>
    <t xml:space="preserve">As Grace (parent), I want to see which photos or recordings haven't uploaded yet and retry them, so that I know my cards are safe.</t>
  </si>
  <si>
    <t xml:space="preserve">1. GIVEN an upload has failed 3 times
   WHEN I open the Lesson Builder
   THEN a banner shows '2 items waiting to upload' with a Retry button, and the cards still work on this device
2. GIVEN storage on the device is full
   WHEN I try to add a photo
   THEN I'm told the device is full and offered to clear downloaded subjects I'm not using</t>
  </si>
  <si>
    <t xml:space="preserve">P26</t>
  </si>
  <si>
    <t xml:space="preserve">PAR-01</t>
  </si>
  <si>
    <t xml:space="preserve">Parent home dashboard</t>
  </si>
  <si>
    <t xml:space="preserve">As Grace (parent), I want a home screen with each child's activity this week, so that I can see at a glance how they're doing.</t>
  </si>
  <si>
    <t xml:space="preserve">1. GIVEN I open the grown-up zone
   WHEN it loads
   THEN each child shows minutes this week, lessons done, stars and their latest badge, with today's goal status</t>
  </si>
  <si>
    <t xml:space="preserve">PAR-02</t>
  </si>
  <si>
    <t xml:space="preserve">Child progress detail</t>
  </si>
  <si>
    <t xml:space="preserve">As Grace (parent), I want to see progress per subject, weak items and recent lessons for one child, so that I know where to help.</t>
  </si>
  <si>
    <t xml:space="preserve">1. GIVEN I open Zawadi's progress
   WHEN it loads
   THEN I see per-subject progress bars, a weekly activity chart, items she finds hard and her last 10 lessons
2. GIVEN I tap a weak item
   WHEN it expands
   THEN I see how often it was answered correctly and a suggestion like 'Practise together'</t>
  </si>
  <si>
    <t xml:space="preserve">P09</t>
  </si>
  <si>
    <t xml:space="preserve">PAR-03</t>
  </si>
  <si>
    <t xml:space="preserve">Screen-time limit and bedtime lock</t>
  </si>
  <si>
    <t xml:space="preserve">As Grace (parent), I want the app to stop at the daily limit and bedtime, so that screen time stays healthy.</t>
  </si>
  <si>
    <t xml:space="preserve">1. GIVEN Amani has used 20 of 20 minutes
   WHEN the limit is reached mid-lesson
   THEN the current activity finishes, then the buddy says goodbye and the break screen shows
2. GIVEN it's after bedtime
   WHEN Amani opens the app
   THEN the buddy is asleep and only the grown-ups button works</t>
  </si>
  <si>
    <t xml:space="preserve">C23, P18</t>
  </si>
  <si>
    <t xml:space="preserve">PAR-05</t>
  </si>
  <si>
    <t xml:space="preserve">Family settings</t>
  </si>
  <si>
    <t xml:space="preserve">As Grace (parent), I want to change daily goal, voice speed, sound and limits at any time, so that the app fits our routine.</t>
  </si>
  <si>
    <t xml:space="preserve">1. GIVEN I change voice speed to slow
   WHEN my child plays
   THEN all speech uses the slower rate</t>
  </si>
  <si>
    <t xml:space="preserve">SAF-02</t>
  </si>
  <si>
    <t xml:space="preserve">Strip photo metadata</t>
  </si>
  <si>
    <t xml:space="preserve">As Grace (parent), I want location and camera data removed from my photos, so that my home location is never exposed.</t>
  </si>
  <si>
    <t xml:space="preserve">1. GIVEN I upload a photo with GPS EXIF
   WHEN it's processed on the device
   THEN all EXIF is removed before upload, and the server re-checks and rejects any file still carrying GPS data</t>
  </si>
  <si>
    <t xml:space="preserve">ONB-03</t>
  </si>
  <si>
    <t xml:space="preserve">Sign in with Google</t>
  </si>
  <si>
    <t xml:space="preserve">As Grace (parent), I want to sign up or sign in with my Google account, so that set-up takes seconds on my Android phone.</t>
  </si>
  <si>
    <t xml:space="preserve">1. GIVEN I'm on sign-up
   WHEN I choose "Continue with Google" and approve
   THEN an account is created (or I'm signed in) using my Google email and I continue onboarding
2. GIVEN an account already exists with the same email via magic link
   WHEN I sign in with Google
   THEN both sign-in methods are linked to the one account</t>
  </si>
  <si>
    <t xml:space="preserve">S6</t>
  </si>
  <si>
    <t xml:space="preserve">P02</t>
  </si>
  <si>
    <t xml:space="preserve">ONB-05</t>
  </si>
  <si>
    <t xml:space="preserve">Country sets local rules and formats</t>
  </si>
  <si>
    <t xml:space="preserve">As Grace (parent), I want to choose my country during sign-up, so that dates, my seasons unit, currency and the privacy rules match where I live.</t>
  </si>
  <si>
    <t xml:space="preserve">1. GIVEN I select my country
   WHEN I finish sign-up
   THEN the family's date format, 'My seasons' climate set and currency are set from the country, and the consent flow for that region is used
2. GIVEN I later change country in settings
   WHEN I save
   THEN formats update and I'm asked to re-confirm consent if the rules differ</t>
  </si>
  <si>
    <t xml:space="preserve">P02, P18</t>
  </si>
  <si>
    <t xml:space="preserve">ONB-09</t>
  </si>
  <si>
    <t xml:space="preserve">Choose interests and starting point</t>
  </si>
  <si>
    <t xml:space="preserve">As Grace (parent), I want to tap my child's favourite things and what they can already do, so that the map shows the most exciting subjects first and they skip what they know.</t>
  </si>
  <si>
    <t xml:space="preserve">1. GIVEN I'm setting up Zawadi
   WHEN I tap Animals and Space as interests
   THEN those subjects appear first on her world map
2. GIVEN I tick "Knows her letters"
   WHEN I continue
   THEN Language starts at Letter sounds and earlier units show as completed with bronze stars
3. GIVEN I skip this step
   WHEN I continue
   THEN default subject order and the age-band start are used</t>
  </si>
  <si>
    <t xml:space="preserve">P05</t>
  </si>
  <si>
    <t xml:space="preserve">FAM-08</t>
  </si>
  <si>
    <t xml:space="preserve">Family can use several devices</t>
  </si>
  <si>
    <t xml:space="preserve">As Grace (parent), I want to sign in on my phone, the home tablet and a laptop, so that my children can play anywhere and progress follows them.</t>
  </si>
  <si>
    <t xml:space="preserve">1. GIVEN I sign in on a second device
   WHEN the device syncs
   THEN all learners, custom lessons and progress appear
2. GIVEN the plan allows a limited number of active devices
   WHEN I sign in on one more
   THEN I can sign out an old device from Settings</t>
  </si>
  <si>
    <t xml:space="preserve">ADP-02</t>
  </si>
  <si>
    <t xml:space="preserve">Parent can lock the level</t>
  </si>
  <si>
    <t xml:space="preserve">As Grace (parent), I want to lock a child's difficulty in a subject, so that I can stop it moving if I know better.</t>
  </si>
  <si>
    <t xml:space="preserve">1. GIVEN I set Numbers to 'Locked: easier' for Amani
   WHEN lessons are generated
   THEN difficulty no longer adjusts in Numbers for Amani</t>
  </si>
  <si>
    <t xml:space="preserve">ADP-05</t>
  </si>
  <si>
    <t xml:space="preserve">Placement quiz</t>
  </si>
  <si>
    <t xml:space="preserve">As Leo (Explorer), I want a quick quiz to skip what I already know, so that I don't waste time on easy lessons.</t>
  </si>
  <si>
    <t xml:space="preserve">1. GIVEN I open a subject for the first time
   WHEN I choose 'Show what you know'
   THEN a 2-minute adaptive quiz runs and units I pass are marked complete with bronze stars</t>
  </si>
  <si>
    <t xml:space="preserve">C05, C06</t>
  </si>
  <si>
    <t xml:space="preserve">BLD-03</t>
  </si>
  <si>
    <t xml:space="preserve">Card extras: fact, category, number</t>
  </si>
  <si>
    <t xml:space="preserve">As Ms Priya (teacher), I want to add a fun fact, a category tag and a number to a card, so that the buddy can say facts and the card works in sorting and counting games.</t>
  </si>
  <si>
    <t xml:space="preserve">1. GIVEN I tag cards 'land' and 'water'
   WHEN I choose the 'Sort them' template
   THEN the sort exercise uses those tags as bins</t>
  </si>
  <si>
    <t xml:space="preserve">BLD-06</t>
  </si>
  <si>
    <t xml:space="preserve">Lesson settings</t>
  </si>
  <si>
    <t xml:space="preserve">As Grace (parent), I want to set the age band, number of activities, hint level and unlocked games, so that the lesson suits my child.</t>
  </si>
  <si>
    <t xml:space="preserve">1. GIVEN I set band Seedling and 5 activities
   WHEN the lesson is generated
   THEN it uses 2–3 options per question and 5 activities</t>
  </si>
  <si>
    <t xml:space="preserve">PAR-04</t>
  </si>
  <si>
    <t xml:space="preserve">Break reminders</t>
  </si>
  <si>
    <t xml:space="preserve">As Grace (parent), I want the buddy to suggest a stretch break every N minutes, so that my child takes breaks.</t>
  </si>
  <si>
    <t xml:space="preserve">1. GIVEN break reminders are every 15 minutes
   WHEN 15 minutes pass
   THEN after the current lesson the buddy leads a 30-second stretch</t>
  </si>
  <si>
    <t xml:space="preserve">C23</t>
  </si>
  <si>
    <t xml:space="preserve">OFF-02</t>
  </si>
  <si>
    <t xml:space="preserve">Download subjects for offline</t>
  </si>
  <si>
    <t xml:space="preserve">As Grace (parent), I want subjects to be downloaded so they work without internet, so that we can learn on a trip or with no data.</t>
  </si>
  <si>
    <t xml:space="preserve">1. GIVEN I'm on Wi-Fi
   WHEN the app is opened
   THEN the content packs for my children's active subjects download in the background
2. GIVEN storage is low
   WHEN a download would exceed the quota
   THEN I'm told which subjects couldn't be downloaded and can free space</t>
  </si>
  <si>
    <t xml:space="preserve">P18, P26</t>
  </si>
  <si>
    <t xml:space="preserve">CNT-03</t>
  </si>
  <si>
    <t xml:space="preserve">Asset review status</t>
  </si>
  <si>
    <t xml:space="preserve">As Steve (developer), I want every asset to have a review status of draft, reviewed or approved, so that unapproved assets never reach production.</t>
  </si>
  <si>
    <t xml:space="preserve">1. GIVEN a production build includes an asset with status 'draft'
   WHEN CI runs
   THEN the build fails listing the asset</t>
  </si>
  <si>
    <t xml:space="preserve">CNT-04</t>
  </si>
  <si>
    <t xml:space="preserve">MVP subjects: Numbers, Language, Animals, Colours, Shapes</t>
  </si>
  <si>
    <t xml:space="preserve">As Zawadi (Sprout), I want the first units of five subjects, so that I have lots to learn in the beta.</t>
  </si>
  <si>
    <t xml:space="preserve">1. GIVEN the MVP is released
   WHEN I open my map
   THEN about 25 units across the five subjects at Seedling and Sprout are playable, each reviewed and approved</t>
  </si>
  <si>
    <t xml:space="preserve">XL</t>
  </si>
  <si>
    <t xml:space="preserve">C04, C05</t>
  </si>
  <si>
    <t xml:space="preserve">ACC-02</t>
  </si>
  <si>
    <t xml:space="preserve">ACC</t>
  </si>
  <si>
    <t xml:space="preserve">Accessibility</t>
  </si>
  <si>
    <t xml:space="preserve">Reduced motion</t>
  </si>
  <si>
    <t xml:space="preserve">As Grace (parent), I want a calm mode with fewer animations, so that my child doesn't get over-stimulated.</t>
  </si>
  <si>
    <t xml:space="preserve">1. GIVEN reduced motion is on (device or app setting)
   WHEN a celebration plays
   THEN it uses a short fade instead of confetti and bouncing</t>
  </si>
  <si>
    <t xml:space="preserve">ACC-03</t>
  </si>
  <si>
    <t xml:space="preserve">Captions for buddy speech</t>
  </si>
  <si>
    <t xml:space="preserve">As Grace (parent), I want captions for everything the buddy says, so that children with hearing loss can follow.</t>
  </si>
  <si>
    <t xml:space="preserve">1. GIVEN captions are on
   WHEN the buddy speaks
   THEN a speech bubble shows the text in sync</t>
  </si>
  <si>
    <t xml:space="preserve">ONB-10</t>
  </si>
  <si>
    <t xml:space="preserve">Set family settings during onboarding</t>
  </si>
  <si>
    <t xml:space="preserve">As Grace (parent), I want to set a daily goal, screen-time limit and bedtime lock during set-up, so that the app respects our routine from day one.</t>
  </si>
  <si>
    <t xml:space="preserve">1. GIVEN I'm on family settings
   WHEN I set a 20-minute limit and a 7:30 pm bedtime lock
   THEN these apply to every child profile and can be changed later in Settings</t>
  </si>
  <si>
    <t xml:space="preserve">S7</t>
  </si>
  <si>
    <t xml:space="preserve">P06</t>
  </si>
  <si>
    <t xml:space="preserve">FAM-03</t>
  </si>
  <si>
    <t xml:space="preserve">Edit or remove a learner</t>
  </si>
  <si>
    <t xml:space="preserve">As Grace (parent), I want to change a learner's nickname, avatar or birth date, or remove them, so that profiles stay accurate.</t>
  </si>
  <si>
    <t xml:space="preserve">1. GIVEN I edit Amani's birth date
   WHEN I save
   THEN his age band and look are recalculated; progress is kept
2. GIVEN I remove a learner
   WHEN I confirm twice
   THEN the profile and its progress are deleted after a 7-day undo window</t>
  </si>
  <si>
    <t xml:space="preserve">MAP-05</t>
  </si>
  <si>
    <t xml:space="preserve">Trail performance on budget tablets</t>
  </si>
  <si>
    <t xml:space="preserve">As Steve (developer), I want the trail to scroll smoothly on a budget Android tablet, so that children don't experience lag.</t>
  </si>
  <si>
    <t xml:space="preserve">1. GIVEN a subject has 100+ stones
   WHEN the trail is scrolled on the reference tablet
   THEN scrolling holds ~60 fps and only stones near the viewport are mounted
2. GIVEN any stone is tapped
   WHEN it's measured
   THEN its touch target is at least 48 px</t>
  </si>
  <si>
    <t xml:space="preserve">LES-18</t>
  </si>
  <si>
    <t xml:space="preserve">Recorded audio overrides device voice</t>
  </si>
  <si>
    <t xml:space="preserve">As Grace (parent), I want my own recordings to replace the device voice where I made them, so that my child hears a familiar voice.</t>
  </si>
  <si>
    <t xml:space="preserve">1. GIVEN I recorded the word 'Daisy' on a custom card
   WHEN the card is spoken
   THEN my recording plays instead of the voice pack or device voice</t>
  </si>
  <si>
    <t xml:space="preserve">OFF-06</t>
  </si>
  <si>
    <t xml:space="preserve">App update without interrupting</t>
  </si>
  <si>
    <t xml:space="preserve">As Zawadi (Sprout), I want updates not to interrupt my lesson, so that I can finish what I'm doing.</t>
  </si>
  <si>
    <t xml:space="preserve">1. GIVEN a new version is available
   WHEN I'm in a lesson
   THEN the update is applied the next time the app starts; grown-ups see a 'What's new' note</t>
  </si>
  <si>
    <t xml:space="preserve">OFF-07</t>
  </si>
  <si>
    <t xml:space="preserve">Child-friendly offline and error states</t>
  </si>
  <si>
    <t xml:space="preserve">As Zawadi (Sprout), I want a calm message from my buddy when something isn't available offline or goes wrong, so that I'm never shown a scary error.</t>
  </si>
  <si>
    <t xml:space="preserve">1. GIVEN a subject isn't downloaded and I'm offline
   WHEN I tap it
   THEN the buddy says 'This one needs the internet. Let's play something else!' and offers downloaded subjects
2. GIVEN an unexpected error happens in a lesson
   WHEN the app recovers
   THEN the buddy says 'Oops, let's try that again', my progress so far is kept, and the error is reported without child data</t>
  </si>
  <si>
    <t xml:space="preserve">SAF-03</t>
  </si>
  <si>
    <t xml:space="preserve">Export my family's data</t>
  </si>
  <si>
    <t xml:space="preserve">As Grace (parent), I want to download all data held about my family, so that I can see what's stored.</t>
  </si>
  <si>
    <t xml:space="preserve">1. GIVEN I request an export
   WHEN it's ready (within 24 hours)
   THEN I get a download link to a ZIP with JSON and media, valid for 7 days</t>
  </si>
  <si>
    <t xml:space="preserve">SAF-04</t>
  </si>
  <si>
    <t xml:space="preserve">Delete my family's data</t>
  </si>
  <si>
    <t xml:space="preserve">As Grace (parent), I want to delete my account and all my family's data, so that nothing is kept when we leave.</t>
  </si>
  <si>
    <t xml:space="preserve">1. GIVEN I request deletion and confirm with a sign-in link
   WHEN the 7-day undo window passes
   THEN all personal data and media are deleted from live systems, with backups expiring within 35 days</t>
  </si>
  <si>
    <t xml:space="preserve">SAF-05</t>
  </si>
  <si>
    <t xml:space="preserve">Data retention jobs</t>
  </si>
  <si>
    <t xml:space="preserve">As Steve (developer), I want automated retention rules (deleted lesson media after 30 days; inactive accounts after warnings), so that we meet our written retention policy.</t>
  </si>
  <si>
    <t xml:space="preserve">1. GIVEN a custom lesson was deleted 30 days ago
   WHEN the nightly job runs
   THEN its media objects are deleted from storage</t>
  </si>
  <si>
    <t xml:space="preserve">SAF-07</t>
  </si>
  <si>
    <t xml:space="preserve">Crash reports without child data</t>
  </si>
  <si>
    <t xml:space="preserve">As Steve (developer), I want Sentry configured to scrub child data, so that debugging never exposes children.</t>
  </si>
  <si>
    <t xml:space="preserve">1. GIVEN an error occurs on a lesson screen
   WHEN Sentry captures it
   THEN learner names, media URLs and audio URLs are scrubbed before sending</t>
  </si>
  <si>
    <t xml:space="preserve">SAF-10</t>
  </si>
  <si>
    <t xml:space="preserve">Privacy policy and terms</t>
  </si>
  <si>
    <t xml:space="preserve">As Grace (parent), I want a clear privacy policy and terms, so that I know my rights.</t>
  </si>
  <si>
    <t xml:space="preserve">1. GIVEN I open Privacy in settings
   WHEN it loads
   THEN I see a plain-language summary and the full policy, with version and date</t>
  </si>
  <si>
    <t xml:space="preserve">ACC-01</t>
  </si>
  <si>
    <t xml:space="preserve">Large touch targets</t>
  </si>
  <si>
    <t xml:space="preserve">As Amani (Seedling), I want big buttons that are easy to tap, so that I don't tap the wrong thing.</t>
  </si>
  <si>
    <t xml:space="preserve">1. GIVEN any interactive element in the child app
   WHEN it's measured
   THEN it is at least 48 × 48 px with 8 px spacing</t>
  </si>
  <si>
    <t xml:space="preserve">ACC-07</t>
  </si>
  <si>
    <t xml:space="preserve">Contrast and colour independence</t>
  </si>
  <si>
    <t xml:space="preserve">As Steve (developer), I want text contrast of at least 4.5:1 and no information by colour alone, so that everyone can see what matters.</t>
  </si>
  <si>
    <t xml:space="preserve">1. GIVEN axe checks run in CI
   WHEN a screen fails contrast
   THEN the PR is flagged; before launch it blocks</t>
  </si>
  <si>
    <t xml:space="preserve">OPS-05</t>
  </si>
  <si>
    <t xml:space="preserve">Monitoring and alerts</t>
  </si>
  <si>
    <t xml:space="preserve">As Steve (developer), I want uptime checks and error alerts, so that I hear about problems before parents do.</t>
  </si>
  <si>
    <t xml:space="preserve">1. GIVEN the API health check fails twice in a row
   WHEN the monitor runs
   THEN I get an alert by email and phone</t>
  </si>
  <si>
    <t xml:space="preserve">OPS-06</t>
  </si>
  <si>
    <t xml:space="preserve">Feature flags</t>
  </si>
  <si>
    <t xml:space="preserve">As Steve (developer), I want server-controlled feature flags, so that I can ship code dark and turn features on for beta families.</t>
  </si>
  <si>
    <t xml:space="preserve">1. GIVEN a flag is on for the beta cohort only
   WHEN a beta family opens the app
   THEN the feature shows only for them</t>
  </si>
  <si>
    <t xml:space="preserve">ONB-12</t>
  </si>
  <si>
    <t xml:space="preserve">First-steps card for parents</t>
  </si>
  <si>
    <t xml:space="preserve">As Grace (parent), I want a short 'first steps' card after my child's first lesson, so that I discover custom lessons, badges and class linking without reading a manual.</t>
  </si>
  <si>
    <t xml:space="preserve">1. GIVEN my child has completed their first lesson
   WHEN I next open the grown-up zone
   THEN a dismissible card shows progress so far and links to make a lesson, make a badge and join a class</t>
  </si>
  <si>
    <t xml:space="preserve">Could</t>
  </si>
  <si>
    <t xml:space="preserve">P2</t>
  </si>
  <si>
    <t xml:space="preserve">S8</t>
  </si>
  <si>
    <t xml:space="preserve">FAM-02</t>
  </si>
  <si>
    <t xml:space="preserve">Optional profile picture password</t>
  </si>
  <si>
    <t xml:space="preserve">As Zawadi (Sprout), I want to protect my profile with three pictures, so that my little brother can't spend my treasures.</t>
  </si>
  <si>
    <t xml:space="preserve">1. GIVEN a parent enabled a picture password for me
   WHEN I tap my avatar
   THEN I'm asked to tap my 3 pictures in order
2. GIVEN I get it wrong 3 times
   WHEN I keep trying
   THEN a hint shows the first picture and the parent can reset it from the grown-up zone</t>
  </si>
  <si>
    <t xml:space="preserve">C02</t>
  </si>
  <si>
    <t xml:space="preserve">FAM-05</t>
  </si>
  <si>
    <t xml:space="preserve">Invite a second parent</t>
  </si>
  <si>
    <t xml:space="preserve">Tom (second parent)</t>
  </si>
  <si>
    <t xml:space="preserve">As Tom (second parent), I want to be invited by email with equal access, so that I can follow and reward Leo from my own phone.</t>
  </si>
  <si>
    <t xml:space="preserve">1. GIVEN Grace invites tom@example.com as a parent
   WHEN Tom accepts the invite
   THEN Tom has full access to the family's learners, lessons and settings, and the invite is logged
2. GIVEN an invite isn't accepted in 7 days
   WHEN Tom opens it
   THEN it has expired and Grace can resend</t>
  </si>
  <si>
    <t xml:space="preserve">P19</t>
  </si>
  <si>
    <t xml:space="preserve">FAM-06</t>
  </si>
  <si>
    <t xml:space="preserve">View-only carer role</t>
  </si>
  <si>
    <t xml:space="preserve">As Grace (parent), I want to invite a grandparent or carer who can only see progress, so that family can cheer the kids on without changing settings.</t>
  </si>
  <si>
    <t xml:space="preserve">1. GIVEN I invite Grandma as 'View progress'
   WHEN she signs in
   THEN she sees progress and badges but can't edit learners, lessons, settings or purchases</t>
  </si>
  <si>
    <t xml:space="preserve">LES-19</t>
  </si>
  <si>
    <t xml:space="preserve">Record letter sounds once for every lesson</t>
  </si>
  <si>
    <t xml:space="preserve">As Grace (parent), I want to record each letter and digraph sound once in a dedicated grown-ups screen, so that my child hears clean, correct phonics sounds everywhere instead of the device voice's approximations.</t>
  </si>
  <si>
    <t xml:space="preserve">1. GIVEN I open 'Letter sounds' in the grown-up zone
   WHEN the screen loads
   THEN every sound (a–z and digraphs such as sh, ch, th, ee) is listed with record, play and 'use device voice' controls and a count of how many are recorded
2. GIVEN I record /sh/
   WHEN I play any lesson that uses /sh/ on any of the family's devices
   THEN my recording plays instead of the voice pack or device voice
3. GIVEN microphone permission is denied
   WHEN I tap record
   THEN I see how to enable it, and nothing else on the screen breaks</t>
  </si>
  <si>
    <t xml:space="preserve">P28</t>
  </si>
  <si>
    <t xml:space="preserve">BDG-06</t>
  </si>
  <si>
    <t xml:space="preserve">Weekly badge digest for parents</t>
  </si>
  <si>
    <t xml:space="preserve">As Grace (parent), I want a weekly summary of badges my children earned, so that I can celebrate with them.</t>
  </si>
  <si>
    <t xml:space="preserve">1. GIVEN it's Sunday evening in my time zone
   WHEN the digest job runs
   THEN I receive an email listing each child's badges and time learnt this week, and can switch it off</t>
  </si>
  <si>
    <t xml:space="preserve">PAR-07</t>
  </si>
  <si>
    <t xml:space="preserve">Notifications for parents</t>
  </si>
  <si>
    <t xml:space="preserve">As Grace (parent), I want optional notifications for badges, wishes to approve and weekly summaries, so that I don't miss moments.</t>
  </si>
  <si>
    <t xml:space="preserve">1. GIVEN Zawadi asks for a wish
   WHEN I have notifications on
   THEN I get a push/email notification and can approve from it</t>
  </si>
  <si>
    <t xml:space="preserve">P16</t>
  </si>
  <si>
    <t xml:space="preserve">OPS-07</t>
  </si>
  <si>
    <t xml:space="preserve">First-party product analytics</t>
  </si>
  <si>
    <t xml:space="preserve">As Steve (developer), I want aggregated product metrics from our own event table, so that I can measure activation and retention without third-party trackers.</t>
  </si>
  <si>
    <t xml:space="preserve">1. GIVEN the weekly metrics job runs
   WHEN it finishes
   THEN a dashboard shows activation, weekly active learners, lessons per learner and retention, with no personal identifiers</t>
  </si>
  <si>
    <t xml:space="preserve">HLP-01</t>
  </si>
  <si>
    <t xml:space="preserve">HLP</t>
  </si>
  <si>
    <t xml:space="preserve">Help &amp; support</t>
  </si>
  <si>
    <t xml:space="preserve">Help centre in the grown-up zone</t>
  </si>
  <si>
    <t xml:space="preserve">As Grace (parent), I want short help articles inside the app, so that I can solve common problems without emailing anyone.</t>
  </si>
  <si>
    <t xml:space="preserve">1. GIVEN I open Help
   WHEN it loads
   THEN I see search plus topics (getting started, lessons, rewards, privacy, billing, offline) and the articles are available offline
2. GIVEN I'm on a screen with a help topic
   WHEN I tap the '?' icon
   THEN the matching article opens</t>
  </si>
  <si>
    <t xml:space="preserve">P30</t>
  </si>
  <si>
    <t xml:space="preserve">HLP-02</t>
  </si>
  <si>
    <t xml:space="preserve">Contact support</t>
  </si>
  <si>
    <t xml:space="preserve">As Grace (parent), I want to send a message to support from the app, so that I can get help with problems the articles don't solve.</t>
  </si>
  <si>
    <t xml:space="preserve">1. GIVEN I fill in the contact form
   WHEN I tick 'include device diagnostics'
   THEN app version, device model and recent error codes are attached, with no child names, media or progress data
2. GIVEN I submit
   WHEN the message is sent
   THEN I get an email confirmation with a reference number</t>
  </si>
  <si>
    <t xml:space="preserve">ONB-13</t>
  </si>
  <si>
    <t xml:space="preserve">Teacher sign-up</t>
  </si>
  <si>
    <t xml:space="preserve">As Ms Priya (teacher), I want to sign up as a teacher with my school email, so that I can create classes without setting up a family.</t>
  </si>
  <si>
    <t xml:space="preserve">1. GIVEN I chose "I'm a teacher"
   WHEN I sign up and enter my school name
   THEN a teacher account is created and I land on Teacher home with a prompt to create my first class
2. GIVEN my school has a licence and my email domain matches
   WHEN I sign up
   THEN I'm offered to join the school's licence</t>
  </si>
  <si>
    <t xml:space="preserve">S9</t>
  </si>
  <si>
    <t xml:space="preserve">P01, T01, T00</t>
  </si>
  <si>
    <t xml:space="preserve">PAR-08</t>
  </si>
  <si>
    <t xml:space="preserve">Linked teacher visibility</t>
  </si>
  <si>
    <t xml:space="preserve">As Grace (parent), I want to see which teacher is linked and what they can see, so that I stay in control of my child's data.</t>
  </si>
  <si>
    <t xml:space="preserve">1. GIVEN Zawadi is linked to Ms Priya's class
   WHEN I open Family members
   THEN I see the class, the teacher and the scope, and can unlink at any time</t>
  </si>
  <si>
    <t xml:space="preserve">P19, P20</t>
  </si>
  <si>
    <t xml:space="preserve">CLS-01</t>
  </si>
  <si>
    <t xml:space="preserve">CLS</t>
  </si>
  <si>
    <t xml:space="preserve">Classes &amp; roster</t>
  </si>
  <si>
    <t xml:space="preserve">Create a class</t>
  </si>
  <si>
    <t xml:space="preserve">As Ms Priya (teacher), I want to create a class with a name, year group and age band, so that I can organise my learners.</t>
  </si>
  <si>
    <t xml:space="preserve">1. GIVEN I'm on Teacher home
   WHEN I create 'Class 1B, ages 5–6'
   THEN the class is created with a join code and QR and appears on my home</t>
  </si>
  <si>
    <t xml:space="preserve">T01</t>
  </si>
  <si>
    <t xml:space="preserve">CLS-02</t>
  </si>
  <si>
    <t xml:space="preserve">Add students to the roster</t>
  </si>
  <si>
    <t xml:space="preserve">As Ms Priya (teacher), I want to add students by first name or paste a list, so that set-up takes minutes.</t>
  </si>
  <si>
    <t xml:space="preserve">1. GIVEN I paste 26 first names
   WHEN I confirm
   THEN 26 roster entries are created with auto-assigned avatars and picture passwords
2. GIVEN two students share a name
   WHEN they're added
   THEN I'm prompted to add an initial to tell them apart</t>
  </si>
  <si>
    <t xml:space="preserve">T02</t>
  </si>
  <si>
    <t xml:space="preserve">CLS-03</t>
  </si>
  <si>
    <t xml:space="preserve">Printable join cards</t>
  </si>
  <si>
    <t xml:space="preserve">As Ms Priya (teacher), I want to print a card per student with the class code and QR for parents, so that parents can link their child at home.</t>
  </si>
  <si>
    <t xml:space="preserve">1. GIVEN I click 'Print parent letters'
   WHEN the PDF is generated
   THEN each page shows the child's name, the class code, a QR, and a plain-language note about what the teacher can see</t>
  </si>
  <si>
    <t xml:space="preserve">CLS-04</t>
  </si>
  <si>
    <t xml:space="preserve">Parent links a child to a class</t>
  </si>
  <si>
    <t xml:space="preserve">As Grace (parent), I want to enter the class code and choose which child it is, so that home and school share one learning record.</t>
  </si>
  <si>
    <t xml:space="preserve">1. GIVEN I enter Zawadi's class code
   WHEN I select Zawadi and confirm the roster entry 'Zawadi M.'
   THEN the profiles merge into one learner with combined history and the teacher sees the linked icon
2. GIVEN the code is wrong or expired
   WHEN I submit
   THEN I see a friendly error and can retry</t>
  </si>
  <si>
    <t xml:space="preserve">P20</t>
  </si>
  <si>
    <t xml:space="preserve">CLS-05</t>
  </si>
  <si>
    <t xml:space="preserve">Scopes for teacher visibility</t>
  </si>
  <si>
    <t xml:space="preserve">As Grace (parent), I want the teacher to see only class-assigned work and summary stats unless I allow more, so that my child's home learning stays private.</t>
  </si>
  <si>
    <t xml:space="preserve">1. GIVEN Zawadi is linked
   WHEN Ms Priya opens her progress
   THEN she sees assigned work and totals but not Family Island lessons
2. GIVEN I switch on 'Share all progress with teacher'
   WHEN she reopens it
   THEN she sees all subject progress</t>
  </si>
  <si>
    <t xml:space="preserve">P20, T04</t>
  </si>
  <si>
    <t xml:space="preserve">CLS-06</t>
  </si>
  <si>
    <t xml:space="preserve">Class without parent accounts</t>
  </si>
  <si>
    <t xml:space="preserve">As Ms Priya (teacher), I want to use the app with children whose parents haven't signed up, so that every child in my class can take part.</t>
  </si>
  <si>
    <t xml:space="preserve">1. GIVEN my school has accepted the school-consent terms
   WHEN I add a student with no parent account
   THEN the student can play in class; data is limited to what the school agreement allows</t>
  </si>
  <si>
    <t xml:space="preserve">HLP-03</t>
  </si>
  <si>
    <t xml:space="preserve">Teacher getting-started guide</t>
  </si>
  <si>
    <t xml:space="preserve">As Ms Priya (teacher), I want a short guide for setting up a class and the first week, so that I can get my class going without training.</t>
  </si>
  <si>
    <t xml:space="preserve">1. GIVEN I've just created my first class
   WHEN Teacher home loads
   THEN a 5-step checklist shows (add students, print parent letters, set up tablets, assign work, check progress) and ticks off as I do each</t>
  </si>
  <si>
    <t xml:space="preserve">T01, P30</t>
  </si>
  <si>
    <t xml:space="preserve">BLD-05</t>
  </si>
  <si>
    <t xml:space="preserve">More templates</t>
  </si>
  <si>
    <t xml:space="preserve">As Ms Priya (teacher), I want templates for 'Put in order', 'Count', 'Spelling list' and 'Quiz', so that I can make any kind of practice.</t>
  </si>
  <si>
    <t xml:space="preserve">1. GIVEN I choose 'Spelling list' and type 10 words
   WHEN I save
   THEN build-a-word and blend exercises are generated, using voice-pack audio for each word
2. GIVEN I choose 'Quiz'
   WHEN I write a question with 3 picture answers
   THEN the quiz lesson uses my questions in order</t>
  </si>
  <si>
    <t xml:space="preserve">S10</t>
  </si>
  <si>
    <t xml:space="preserve">BLD-13</t>
  </si>
  <si>
    <t xml:space="preserve">Organise my library</t>
  </si>
  <si>
    <t xml:space="preserve">As Ms Priya (teacher), I want to group my lessons into categories and reorder them, so that I can find things quickly.</t>
  </si>
  <si>
    <t xml:space="preserve">1. GIVEN I create a category 'Term 1'
   WHEN I drag lessons into it
   THEN the order and grouping save and sync</t>
  </si>
  <si>
    <t xml:space="preserve">BLD-14</t>
  </si>
  <si>
    <t xml:space="preserve">Desktop Lesson Builder</t>
  </si>
  <si>
    <t xml:space="preserve">As Ms Priya (teacher), I want the Lesson Builder to work well on a laptop with drag-and-drop file upload, so that I can build lessons quickly while planning.</t>
  </si>
  <si>
    <t xml:space="preserve">1. GIVEN I'm on a laptop
   WHEN I drag 10 image files onto the builder
   THEN 10 cards are created with labels from the file names, ready to edit</t>
  </si>
  <si>
    <t xml:space="preserve">T03</t>
  </si>
  <si>
    <t xml:space="preserve">CLS-07</t>
  </si>
  <si>
    <t xml:space="preserve">Groups within a class</t>
  </si>
  <si>
    <t xml:space="preserve">As Ms Priya (teacher), I want to create groups like 'Readers' and 'Starters', so that I can assign different work to each group.</t>
  </si>
  <si>
    <t xml:space="preserve">1. GIVEN I create a group and drag 8 students into it
   WHEN I assign work to the group
   THEN only those students receive it</t>
  </si>
  <si>
    <t xml:space="preserve">ASN-01</t>
  </si>
  <si>
    <t xml:space="preserve">ASN</t>
  </si>
  <si>
    <t xml:space="preserve">Assignments &amp; class insights</t>
  </si>
  <si>
    <t xml:space="preserve">Assign work</t>
  </si>
  <si>
    <t xml:space="preserve">As Ms Priya (teacher), I want to assign built-in units or my own lessons to a class, a group or individuals with an optional due date, so that everyone practises what we're learning in class.</t>
  </si>
  <si>
    <t xml:space="preserve">1. GIVEN I select Animals → Water animals and 'Group: Readers', due Friday
   WHEN I click Assign
   THEN the unit appears on those students' Class Island with a due badge
2. GIVEN a student completes it
   WHEN I view the assignment
   THEN their status changes to done with stars</t>
  </si>
  <si>
    <t xml:space="preserve">T03, C22</t>
  </si>
  <si>
    <t xml:space="preserve">ASN-02</t>
  </si>
  <si>
    <t xml:space="preserve">Class progress heatmap</t>
  </si>
  <si>
    <t xml:space="preserve">As Ms Priya (teacher), I want a grid of students × lessons coloured by stars, so that I can see who's stuck at a glance.</t>
  </si>
  <si>
    <t xml:space="preserve">1. GIVEN I open Class progress
   WHEN it loads
   THEN rows are students, columns are assigned lessons, cells show 0–3 stars and red marks for items struggled with
2. GIVEN I click a cell
   WHEN a panel opens
   THEN I see that student's answers and weak items for that lesson</t>
  </si>
  <si>
    <t xml:space="preserve">T04</t>
  </si>
  <si>
    <t xml:space="preserve">ASN-03</t>
  </si>
  <si>
    <t xml:space="preserve">Struggling-items report</t>
  </si>
  <si>
    <t xml:space="preserve">As Ms Priya (teacher), I want a list of the items the class finds hardest, so that I can reteach them.</t>
  </si>
  <si>
    <t xml:space="preserve">1. GIVEN an assignment has 10+ completions
   WHEN I open its insights
   THEN the 5 items with the lowest first-try accuracy are listed with the students struggling</t>
  </si>
  <si>
    <t xml:space="preserve">ASN-04</t>
  </si>
  <si>
    <t xml:space="preserve">Export class progress</t>
  </si>
  <si>
    <t xml:space="preserve">As Ms Priya (teacher), I want to export progress as CSV or PDF, so that I can include it in reports to parents and the school.</t>
  </si>
  <si>
    <t xml:space="preserve">1. GIVEN I click Export → CSV
   WHEN the file downloads
   THEN it contains student first names, assignments, stars and completion dates only</t>
  </si>
  <si>
    <t xml:space="preserve">CRM-01</t>
  </si>
  <si>
    <t xml:space="preserve">CRM</t>
  </si>
  <si>
    <t xml:space="preserve">Classroom mode</t>
  </si>
  <si>
    <t xml:space="preserve">Set a tablet to classroom mode</t>
  </si>
  <si>
    <t xml:space="preserve">As Ms Priya (teacher), I want to set a shared tablet to my class, so that children can sign in themselves without email.</t>
  </si>
  <si>
    <t xml:space="preserve">1. GIVEN I sign in on a tablet and choose 'Use as classroom device for Class 1B'
   WHEN I confirm
   THEN the tablet opens to the class picker; the grown-up zone needs my PIN</t>
  </si>
  <si>
    <t xml:space="preserve">T06, C02</t>
  </si>
  <si>
    <t xml:space="preserve">CRM-02</t>
  </si>
  <si>
    <t xml:space="preserve">Picture-password sign-in</t>
  </si>
  <si>
    <t xml:space="preserve">As Zawadi (Sprout), I want to tap my class, my face picture and my 3 pictures to sign in, so that I can start quickly without reading or typing.</t>
  </si>
  <si>
    <t xml:space="preserve">1. GIVEN the tablet is in classroom mode
   WHEN I tap my avatar and my 3 pictures in order
   THEN my map opens
2. GIVEN I forget my pictures
   WHEN I tap 'Ask my teacher'
   THEN the teacher can show my pictures from their dashboard</t>
  </si>
  <si>
    <t xml:space="preserve">CRM-03</t>
  </si>
  <si>
    <t xml:space="preserve">Auto sign-out on shared devices</t>
  </si>
  <si>
    <t xml:space="preserve">As Ms Priya (teacher), I want children to be signed out after a lesson or inactivity, so that the next child doesn't play on someone else's profile.</t>
  </si>
  <si>
    <t xml:space="preserve">1. GIVEN a child finishes a lesson or is inactive for 3 minutes
   WHEN the timer fires
   THEN the tablet returns to the class picker</t>
  </si>
  <si>
    <t xml:space="preserve">CRM-05</t>
  </si>
  <si>
    <t xml:space="preserve">Offline classroom</t>
  </si>
  <si>
    <t xml:space="preserve">As Ms Priya (teacher), I want class tablets to work when the school Wi-Fi drops, so that the lesson isn't wasted.</t>
  </si>
  <si>
    <t xml:space="preserve">1. GIVEN assigned content was downloaded
   WHEN the Wi-Fi drops mid-lesson
   THEN children continue; results sync when the connection returns</t>
  </si>
  <si>
    <t xml:space="preserve">BDG-04</t>
  </si>
  <si>
    <t xml:space="preserve">Badge tiers</t>
  </si>
  <si>
    <t xml:space="preserve">As Leo (Explorer), I want badges with bronze, silver and gold levels, so that I can keep improving.</t>
  </si>
  <si>
    <t xml:space="preserve">1. GIVEN I have bronze 'Perfect Ten'
   WHEN I reach 25 perfect lessons
   THEN the badge upgrades to silver with a smaller celebration</t>
  </si>
  <si>
    <t xml:space="preserve">S11</t>
  </si>
  <si>
    <t xml:space="preserve">C20, T05</t>
  </si>
  <si>
    <t xml:space="preserve">BDG-07</t>
  </si>
  <si>
    <t xml:space="preserve">Badges can't be taken away</t>
  </si>
  <si>
    <t xml:space="preserve">As Zawadi (Sprout), I want badges I've earned to stay mine, so that I trust the rewards.</t>
  </si>
  <si>
    <t xml:space="preserve">1. GIVEN a grown-up deletes a custom badge rule
   WHEN I view my badge book
   THEN badges I already earned remain; a grown-up can hide a badge but not revoke it</t>
  </si>
  <si>
    <t xml:space="preserve">BST-01</t>
  </si>
  <si>
    <t xml:space="preserve">BST</t>
  </si>
  <si>
    <t xml:space="preserve">Badge Studio &amp; Wish list</t>
  </si>
  <si>
    <t xml:space="preserve">Design a custom badge</t>
  </si>
  <si>
    <t xml:space="preserve">As Grace (parent), I want to design a badge with a shape, colour, icon or my own image, and a name, so that rewards match what matters in our family.</t>
  </si>
  <si>
    <t xml:space="preserve">1. GIVEN I open Badge Studio
   WHEN I pick a shape, colour and icon and name it 'Garden Helper'
   THEN a live preview shows the badge
2. GIVEN I upload an image
   WHEN it passes safety checks
   THEN it's cropped into the badge shape with EXIF stripped
3. GIVEN I record a message
   WHEN the badge is earned
   THEN my recorded message plays during the celebration</t>
  </si>
  <si>
    <t xml:space="preserve">P14</t>
  </si>
  <si>
    <t xml:space="preserve">BST-02</t>
  </si>
  <si>
    <t xml:space="preserve">Set how a custom badge is earned</t>
  </si>
  <si>
    <t xml:space="preserve">As Ms Priya (teacher), I want to choose a rule: complete content, reach a count, streak, mastery, assignment, manual award or a combination, so that badges reward exactly the behaviour I want.</t>
  </si>
  <si>
    <t xml:space="preserve">1. GIVEN I choose 'Complete content' and pick my 'Week 3 spelling' lesson
   WHEN I save
   THEN the badge is awarded automatically when a learner completes it
2. GIVEN I choose 'Combination'
   WHEN I add up to 3 conditions with AND/OR
   THEN the rule summary reads back in plain English before saving
3. GIVEN I choose 'Manual award'
   WHEN I save
   THEN the badge appears in my 'Award' list for chosen learners</t>
  </si>
  <si>
    <t xml:space="preserve">P15, T05</t>
  </si>
  <si>
    <t xml:space="preserve">BST-03</t>
  </si>
  <si>
    <t xml:space="preserve">Attach treasures to a custom badge</t>
  </si>
  <si>
    <t xml:space="preserve">As Grace (parent), I want to give treasures when a custom badge is earned, so that my child can spend the reward in the shop.</t>
  </si>
  <si>
    <t xml:space="preserve">1. GIVEN I set 50 treasures
   WHEN the value is within the cap
   THEN it's saved
2. GIVEN I enter more than the per-badge cap
   WHEN I try to save
   THEN I'm told the maximum and why (to keep the economy fair)</t>
  </si>
  <si>
    <t xml:space="preserve">P15</t>
  </si>
  <si>
    <t xml:space="preserve">BST-04</t>
  </si>
  <si>
    <t xml:space="preserve">Real-world reward on a badge</t>
  </si>
  <si>
    <t xml:space="preserve">As Tom (second parent), I want to attach a real-world reward like 'Pick Friday's movie', so that the app connects to rewards at home.</t>
  </si>
  <si>
    <t xml:space="preserve">1. GIVEN I add a real-world reward to a badge
   WHEN Leo earns it
   THEN the reward appears on Leo's wishes as 'earned' and on my 'To deliver' list
2. GIVEN I mark it delivered
   WHEN Leo next opens his wishes
   THEN it shows as delivered with a thank-you animation</t>
  </si>
  <si>
    <t xml:space="preserve">P15, P16, C21</t>
  </si>
  <si>
    <t xml:space="preserve">BST-05</t>
  </si>
  <si>
    <t xml:space="preserve">Manually award a badge remotely</t>
  </si>
  <si>
    <t xml:space="preserve">As Tom (second parent), I want to award a badge from my phone for something done at home, so that I can reward real-world effort while I'm away.</t>
  </si>
  <si>
    <t xml:space="preserve">1. GIVEN Leo tidied his room
   WHEN I tap Award on 'Tidy Champion' and choose Leo
   THEN Leo sees the celebration the next time he opens the app</t>
  </si>
  <si>
    <t xml:space="preserve">BST-06</t>
  </si>
  <si>
    <t xml:space="preserve">Choose who can earn a badge</t>
  </si>
  <si>
    <t xml:space="preserve">As Ms Priya (teacher), I want to make a badge available to one child, several children or a whole class, so that rewards fit the group.</t>
  </si>
  <si>
    <t xml:space="preserve">1. GIVEN I select 'Class 1B'
   WHEN I save the badge
   THEN every enrolled learner can earn it and new joiners get it automatically</t>
  </si>
  <si>
    <t xml:space="preserve">BST-07</t>
  </si>
  <si>
    <t xml:space="preserve">Wish list (save up for real rewards)</t>
  </si>
  <si>
    <t xml:space="preserve">As Zawadi (Sprout), I want to save treasures towards a reward my parent set up, like 'a story of my choice', so that I have a big goal.</t>
  </si>
  <si>
    <t xml:space="preserve">1. GIVEN my parent created the wish '50 treasures = bedtime story of your choice'
   WHEN I open my wishes
   THEN it shows progress towards 50 treasures
2. GIVEN I have enough
   WHEN I tap 'Ask for it'
   THEN treasures are held and my parent gets an approval request
3. GIVEN my parent approves
   WHEN it's delivered
   THEN the treasures are spent; if declined they are returned</t>
  </si>
  <si>
    <t xml:space="preserve">C21, P16</t>
  </si>
  <si>
    <t xml:space="preserve">BST-08</t>
  </si>
  <si>
    <t xml:space="preserve">Badge Studio safety checks</t>
  </si>
  <si>
    <t xml:space="preserve">As Steve (developer), I want uploaded badge images checked like lesson uploads, so that nothing inappropriate appears to children.</t>
  </si>
  <si>
    <t xml:space="preserve">1. GIVEN a badge image is uploaded
   WHEN it's processed
   THEN EXIF is stripped, size limits apply and the automated content scan runs; flagged images are rejected with a reason</t>
  </si>
  <si>
    <t xml:space="preserve">SHR-01</t>
  </si>
  <si>
    <t xml:space="preserve">SHR</t>
  </si>
  <si>
    <t xml:space="preserve">Sharing by code</t>
  </si>
  <si>
    <t xml:space="preserve">Share a lesson by code</t>
  </si>
  <si>
    <t xml:space="preserve">As Ms Priya (teacher), I want to create a 6-character code or QR for a lesson, trail or badge set, so that colleagues and parents can import it.</t>
  </si>
  <si>
    <t xml:space="preserve">1. GIVEN I tap Share on a lesson
   WHEN I confirm the safety checklist
   THEN a code and QR are created and I can copy or show them
2. GIVEN I revoke a code
   WHEN someone enters it
   THEN they're told it's no longer available; existing copies are unaffected</t>
  </si>
  <si>
    <t xml:space="preserve">P17</t>
  </si>
  <si>
    <t xml:space="preserve">SHR-02</t>
  </si>
  <si>
    <t xml:space="preserve">Import by code</t>
  </si>
  <si>
    <t xml:space="preserve">As Grace (parent), I want to enter a code and get my own copy, so that I can use lessons my child's teacher shared.</t>
  </si>
  <si>
    <t xml:space="preserve">1. GIVEN I enter a valid code
   WHEN I tap Import
   THEN a preview shows the lesson's cards and I can add a copy to my library
2. GIVEN the creator edits the original later
   WHEN I look at my copy
   THEN my copy is unchanged unless I re-import</t>
  </si>
  <si>
    <t xml:space="preserve">P17, P23</t>
  </si>
  <si>
    <t xml:space="preserve">SHR-03</t>
  </si>
  <si>
    <t xml:space="preserve">Safety checklist before sharing</t>
  </si>
  <si>
    <t xml:space="preserve">As Steve (developer), I want a checklist and automated face detection before a code is created, so that children's faces and personal details aren't shared.</t>
  </si>
  <si>
    <t xml:space="preserve">1. GIVEN a lesson contains an image with a detected face
   WHEN the creator tries to share
   THEN they must confirm the image isn't of a child or remove it
2. GIVEN the creator ticks 'No names or addresses'
   WHEN the code is created
   THEN the confirmation is logged with the share</t>
  </si>
  <si>
    <t xml:space="preserve">SHR-04</t>
  </si>
  <si>
    <t xml:space="preserve">No child data travels in shares</t>
  </si>
  <si>
    <t xml:space="preserve">As Steve (developer), I want shared content to contain only cards, media, templates and badges, so that no learner data ever leaves the family or class.</t>
  </si>
  <si>
    <t xml:space="preserve">1. GIVEN a lesson with learner progress is shared
   WHEN the share package is built
   THEN it contains no learner IDs, progress, names or recordings of children made via the app's progress features</t>
  </si>
  <si>
    <t xml:space="preserve">SHR-05</t>
  </si>
  <si>
    <t xml:space="preserve">Report shared content</t>
  </si>
  <si>
    <t xml:space="preserve">As Grace (parent), I want to report an imported lesson that seems inappropriate, so that unsafe content is removed.</t>
  </si>
  <si>
    <t xml:space="preserve">1. GIVEN I tap 'Report' on an imported lesson
   WHEN I choose a reason
   THEN the report goes to moderation and the code is suspended if it passes a threshold</t>
  </si>
  <si>
    <t xml:space="preserve">P17, M01</t>
  </si>
  <si>
    <t xml:space="preserve">ASN-05</t>
  </si>
  <si>
    <t xml:space="preserve">Badge wall</t>
  </si>
  <si>
    <t xml:space="preserve">As Ms Priya (teacher), I want a projectable wall of badges the class earned this week, so that we can celebrate together.</t>
  </si>
  <si>
    <t xml:space="preserve">1. GIVEN I open Badge wall in full screen
   WHEN it loads
   THEN each student's new badges this week are shown with first names only</t>
  </si>
  <si>
    <t xml:space="preserve">T06</t>
  </si>
  <si>
    <t xml:space="preserve">SAF-08</t>
  </si>
  <si>
    <t xml:space="preserve">Automated scan of shared uploads</t>
  </si>
  <si>
    <t xml:space="preserve">As Steve (developer), I want uploaded images scanned for inappropriate content, so that nothing unsafe reaches children.</t>
  </si>
  <si>
    <t xml:space="preserve">1. GIVEN an uploaded image is flagged
   WHEN the scan completes
   THEN the image is hidden, the uploader is told why, and a review entry is created</t>
  </si>
  <si>
    <t xml:space="preserve">M01</t>
  </si>
  <si>
    <t xml:space="preserve">MOD-01</t>
  </si>
  <si>
    <t xml:space="preserve">MOD</t>
  </si>
  <si>
    <t xml:space="preserve">Moderation</t>
  </si>
  <si>
    <t xml:space="preserve">Moderation queue</t>
  </si>
  <si>
    <t xml:space="preserve">As Steve (developer), I want one queue of reported shared content and automatically flagged uploads, so that unsafe content is reviewed quickly.</t>
  </si>
  <si>
    <t xml:space="preserve">1. GIVEN a parent reports an imported lesson or the scanner flags an image
   WHEN I open the moderation queue
   THEN the item shows with its reason, report count, share code, upload date and a preview, oldest first
2. GIVEN an item has been waiting more than 24 hours
   WHEN the queue loads
   THEN it's highlighted and I get a daily email reminder</t>
  </si>
  <si>
    <t xml:space="preserve">MOD-02</t>
  </si>
  <si>
    <t xml:space="preserve">Moderation actions and audit log</t>
  </si>
  <si>
    <t xml:space="preserve">As Steve (developer), I want to hide, restore, or suspend a share code, and to warn or suspend a creator account, so that I can act on reports consistently and show what was done.</t>
  </si>
  <si>
    <t xml:space="preserve">1. GIVEN I choose 'Hide image' on a flagged item
   WHEN I confirm with a reason
   THEN the image is replaced by a placeholder for everyone who has a copy, and the action is logged with who, when and why
2. GIVEN I suspend a share code
   WHEN someone tries to import it
   THEN they're told it's unavailable; existing copies stay but the flagged media is hidden</t>
  </si>
  <si>
    <t xml:space="preserve">MOD-03</t>
  </si>
  <si>
    <t xml:space="preserve">Tell people the outcome</t>
  </si>
  <si>
    <t xml:space="preserve">As Grace (parent), I want to hear back after I report something, and to be told if my own upload was hidden, so that I trust that reports are acted on and understand why something changed.</t>
  </si>
  <si>
    <t xml:space="preserve">1. GIVEN my report has been reviewed
   WHEN a decision is made
   THEN I get an email saying it was reviewed and the general outcome, without details about other users
2. GIVEN my image was hidden
   WHEN the action is taken
   THEN I get an email with the reason and how to appeal</t>
  </si>
  <si>
    <t xml:space="preserve">MOB-01</t>
  </si>
  <si>
    <t xml:space="preserve">MOB</t>
  </si>
  <si>
    <t xml:space="preserve">Mobile app (React Native)</t>
  </si>
  <si>
    <t xml:space="preserve">React Native CLI app scaffold in the monorepo</t>
  </si>
  <si>
    <t xml:space="preserve">As Steve (developer), I want the bare React Native app in apps/mobile using shared packages, so that logic isn't duplicated.</t>
  </si>
  <si>
    <t xml:space="preserve">1. GIVEN the app is built
   WHEN it imports packages/domain, sync and content-schema
   THEN Metro resolves them and React isn't duplicated
2. GIVEN CI runs
   WHEN a release tag is pushed
   THEN a signed AAB is built with Gradle</t>
  </si>
  <si>
    <t xml:space="preserve">P3</t>
  </si>
  <si>
    <t xml:space="preserve">S12</t>
  </si>
  <si>
    <t xml:space="preserve">MOB-02</t>
  </si>
  <si>
    <t xml:space="preserve">Native storage adapter</t>
  </si>
  <si>
    <t xml:space="preserve">As Steve (developer), I want an op-sqlite storage adapter implementing the shared sync interface, so that the mobile app works offline like the web app.</t>
  </si>
  <si>
    <t xml:space="preserve">1. GIVEN the adapter passes the shared storage-adapter test suite
   WHEN the app runs offline
   THEN events queue and sync like on the web</t>
  </si>
  <si>
    <t xml:space="preserve">MOB-03</t>
  </si>
  <si>
    <t xml:space="preserve">Child experience parity on Android</t>
  </si>
  <si>
    <t xml:space="preserve">As Zawadi (Sprout), I want the Android app to have the same map, trail, lessons, games and rewards as the web app, so that I can use whichever device I have.</t>
  </si>
  <si>
    <t xml:space="preserve">1. GIVEN the Android app is installed
   WHEN I sign in
   THEN my profile, trail, wallet and badges match the web app after sync</t>
  </si>
  <si>
    <t xml:space="preserve">S14</t>
  </si>
  <si>
    <t xml:space="preserve">C04, C05, C07</t>
  </si>
  <si>
    <t xml:space="preserve">MOB-04</t>
  </si>
  <si>
    <t xml:space="preserve">Native camera and microphone in the Lesson Builder</t>
  </si>
  <si>
    <t xml:space="preserve">As Grace (parent), I want the Android app to use the camera and microphone natively, so that making cards is fast on my phone.</t>
  </si>
  <si>
    <t xml:space="preserve">1. GIVEN I open Add card for the first time
   WHEN I tap Camera
   THEN the camera permission is requested at that moment (not at app launch) within the gated grown-up zone</t>
  </si>
  <si>
    <t xml:space="preserve">S16</t>
  </si>
  <si>
    <t xml:space="preserve">MOB-05</t>
  </si>
  <si>
    <t xml:space="preserve">Play Store Families compliance</t>
  </si>
  <si>
    <t xml:space="preserve">As Steve (developer), I want the Android app to meet Google Play's Families policy, so that it's approved and listed.</t>
  </si>
  <si>
    <t xml:space="preserve">1. GIVEN the app is submitted
   WHEN Play reviews it
   THEN data-safety, target-audience and Families declarations are accurate and no non-certified SDKs are included</t>
  </si>
  <si>
    <t xml:space="preserve">S17</t>
  </si>
  <si>
    <t xml:space="preserve">MOB-06</t>
  </si>
  <si>
    <t xml:space="preserve">Maestro E2E on Android</t>
  </si>
  <si>
    <t xml:space="preserve">As Steve (developer), I want the critical flows automated on an emulator, so that releases don't regress.</t>
  </si>
  <si>
    <t xml:space="preserve">1. GIVEN a release candidate is built
   WHEN Maestro runs
   THEN sign-up → lesson, offline → sync and builder flows pass</t>
  </si>
  <si>
    <t xml:space="preserve">MAP-04</t>
  </si>
  <si>
    <t xml:space="preserve">Cross-subject signposts</t>
  </si>
  <si>
    <t xml:space="preserve">As Leo (Explorer), I want a signpost when a unit needs something from another subject, so that I know where to go first.</t>
  </si>
  <si>
    <t xml:space="preserve">1. GIVEN Time → Reading the clock needs Numbers → Counting by 5s
   WHEN I tap the locked unit
   THEN a signpost says 'Visit Numbers Mountain first!' and tapping it opens that unit</t>
  </si>
  <si>
    <t xml:space="preserve">P4</t>
  </si>
  <si>
    <t xml:space="preserve">S18</t>
  </si>
  <si>
    <t xml:space="preserve">LES-12</t>
  </si>
  <si>
    <t xml:space="preserve">Exercise: trace</t>
  </si>
  <si>
    <t xml:space="preserve">As Zawadi (Sprout), I want to trace letters, numbers and shapes with my finger, so that I learn to write them.</t>
  </si>
  <si>
    <t xml:space="preserve">1. GIVEN a letter outline with start dot and arrow is shown
   WHEN I trace
   THEN strokes within tolerance in the right order complete the letter; off-path strokes show a gentle retry</t>
  </si>
  <si>
    <t xml:space="preserve">C07, C25</t>
  </si>
  <si>
    <t xml:space="preserve">LES-13</t>
  </si>
  <si>
    <t xml:space="preserve">Exercise: clock setter</t>
  </si>
  <si>
    <t xml:space="preserve">As Leo (Explorer), I want to drag clock hands to show a time, so that I learn to read clocks.</t>
  </si>
  <si>
    <t xml:space="preserve">1. GIVEN a target time is said and shown
   WHEN I drag the hands
   THEN the minute hand snaps to 5-minute steps and the answer is checked when I tap Done</t>
  </si>
  <si>
    <t xml:space="preserve">C07, C26</t>
  </si>
  <si>
    <t xml:space="preserve">LES-14</t>
  </si>
  <si>
    <t xml:space="preserve">Exercise: true or false</t>
  </si>
  <si>
    <t xml:space="preserve">As Leo (Explorer), I want to judge whether the buddy's claim is true, so that I think critically.</t>
  </si>
  <si>
    <t xml:space="preserve">1. GIVEN the buddy says 'A bat is a bird'
   WHEN I tap thumbs down
   THEN it's correct and the buddy gives the reason</t>
  </si>
  <si>
    <t xml:space="preserve">C07, C28</t>
  </si>
  <si>
    <t xml:space="preserve">GAM-06</t>
  </si>
  <si>
    <t xml:space="preserve">Sorting race</t>
  </si>
  <si>
    <t xml:space="preserve">As Zawadi (Sprout), I want items to fall and me to drag them into the right basket, so that sorting feels exciting.</t>
  </si>
  <si>
    <t xml:space="preserve">1. GIVEN the game starts
   WHEN items fall slowly
   THEN speed increases gently with correct sorts and never ends the game on mistakes</t>
  </si>
  <si>
    <t xml:space="preserve">S19</t>
  </si>
  <si>
    <t xml:space="preserve">GAM-07</t>
  </si>
  <si>
    <t xml:space="preserve">Maze to the answer</t>
  </si>
  <si>
    <t xml:space="preserve">As Zawadi (Sprout), I want to guide my buddy through a maze to the right answer, so that practice feels like play.</t>
  </si>
  <si>
    <t xml:space="preserve">1. GIVEN a maze with three answer exits shows
   WHEN I trace a path to an exit
   THEN the buddy walks it and reacts to the answer chosen</t>
  </si>
  <si>
    <t xml:space="preserve">GAM-08</t>
  </si>
  <si>
    <t xml:space="preserve">Subject games pack</t>
  </si>
  <si>
    <t xml:space="preserve">As Leo (Explorer), I want subject-specific games (planet line-up, what to wear, colour mixer, tangram, timeline ladder, feed the animal), so that each subject has a signature game.</t>
  </si>
  <si>
    <t xml:space="preserve">1. GIVEN I've completed the relevant unit
   WHEN I open Games corner
   THEN the subject's signature game is available</t>
  </si>
  <si>
    <t xml:space="preserve">GAM-09</t>
  </si>
  <si>
    <t xml:space="preserve">Quiz show</t>
  </si>
  <si>
    <t xml:space="preserve">As Leo (Explorer), I want a 10-question quiz show hosted by my buddy across units I've finished, so that I can test myself.</t>
  </si>
  <si>
    <t xml:space="preserve">1. GIVEN I've completed 3+ units
   WHEN I start Quiz show
   THEN 10 mixed questions are drawn from my completed units and I get a final score with a personal best</t>
  </si>
  <si>
    <t xml:space="preserve">ADP-06</t>
  </si>
  <si>
    <t xml:space="preserve">Different band per subject</t>
  </si>
  <si>
    <t xml:space="preserve">As Leo (Explorer), I want to be at a higher level in subjects I'm strong in, so that each subject fits me.</t>
  </si>
  <si>
    <t xml:space="preserve">1. GIVEN Leo placed into Voyager in Planets
   WHEN he opens Time
   THEN Time still starts at his age band</t>
  </si>
  <si>
    <t xml:space="preserve">S20</t>
  </si>
  <si>
    <t xml:space="preserve">ADP-07</t>
  </si>
  <si>
    <t xml:space="preserve">Legendary replay</t>
  </si>
  <si>
    <t xml:space="preserve">As Leo (Explorer), I want to replay finished units at a harder setting, so that I can earn more and stay challenged.</t>
  </si>
  <si>
    <t xml:space="preserve">1. GIVEN I've completed a unit
   WHEN I tap its banner and choose 'Legendary'
   THEN the unit replays at the next band's settings and awards bonus treasures</t>
  </si>
  <si>
    <t xml:space="preserve">CNT-05</t>
  </si>
  <si>
    <t xml:space="preserve">Launch subjects wave</t>
  </si>
  <si>
    <t xml:space="preserve">As Leo (Explorer), I want Time, Weather &amp; seasons, Plants, Opposites, Planets, Transport, Sports, Body, Positions, Directions &amp; compass and Feelings, so that I can explore everything I'm curious about.</t>
  </si>
  <si>
    <t xml:space="preserve">1. GIVEN the launch release is out
   WHEN I open my map
   THEN 16 subjects with Seedling–Explorer units are available</t>
  </si>
  <si>
    <t xml:space="preserve">CNT-06</t>
  </si>
  <si>
    <t xml:space="preserve">My seasons localisation</t>
  </si>
  <si>
    <t xml:space="preserve">As Grace (parent), I want the 'My seasons' unit to match our climate, so that my children learn the seasons they actually live through.</t>
  </si>
  <si>
    <t xml:space="preserve">1. GIVEN my country is Kenya
   WHEN my child reaches 'My seasons'
   THEN it teaches the long rains, short rains and dry seasons
2. GIVEN my country is the UK
   WHEN they reach it
   THEN it teaches spring, summer, autumn and winter</t>
  </si>
  <si>
    <t xml:space="preserve">ONB-08</t>
  </si>
  <si>
    <t xml:space="preserve">Add me too (adult learner)</t>
  </si>
  <si>
    <t xml:space="preserve">Joseph (adult learner)</t>
  </si>
  <si>
    <t xml:space="preserve">As Joseph (adult learner), I want the account owner to be able to add an adult learner profile, so that I can learn alongside the children without looking childish.</t>
  </si>
  <si>
    <t xml:space="preserve">1. GIVEN I'm on "Who's learning?"
   WHEN I choose "Add me too" or add an adult with birth year 18+ years ago
   THEN an adult profile is created with the adult look and the study-partner buddy tone</t>
  </si>
  <si>
    <t xml:space="preserve">S21</t>
  </si>
  <si>
    <t xml:space="preserve">P04, A01</t>
  </si>
  <si>
    <t xml:space="preserve">FAM-04</t>
  </si>
  <si>
    <t xml:space="preserve">Automatic band move on birthday</t>
  </si>
  <si>
    <t xml:space="preserve">As Zawadi (Sprout), I want to 'grow up' in the app around my birthday, so that it keeps feeling right for my age.</t>
  </si>
  <si>
    <t xml:space="preserve">1. GIVEN my birth month passes and I now fall in a new age stage
   WHEN I next open the app
   THEN my buddy celebrates my birthday, the look and starting band for new subjects update, and existing progress is kept</t>
  </si>
  <si>
    <t xml:space="preserve">BUD-02</t>
  </si>
  <si>
    <t xml:space="preserve">Change buddy later</t>
  </si>
  <si>
    <t xml:space="preserve">As Zawadi (Sprout), I want to swap to a different buddy, so that I can try another friend.</t>
  </si>
  <si>
    <t xml:space="preserve">1. GIVEN I'm on my map
   WHEN I open my buddy's menu and choose 'Change buddy'
   THEN Meet the buddies opens; my outfits stay with each buddy and my progress is unchanged</t>
  </si>
  <si>
    <t xml:space="preserve">BUD-10</t>
  </si>
  <si>
    <t xml:space="preserve">Buddy grows up with the learner</t>
  </si>
  <si>
    <t xml:space="preserve">Nia (Voyager)</t>
  </si>
  <si>
    <t xml:space="preserve">As Nia (Voyager), I want my buddy to look and talk more grown-up as I get older, so that the app doesn't feel babyish.</t>
  </si>
  <si>
    <t xml:space="preserve">1. GIVEN my age stage is 8–12
   WHEN I use the app
   THEN the buddy uses its 'coach' art set and tone
2. GIVEN I'm a teen or adult
   WHEN I open settings
   THEN I can switch the buddy to 'quiet' so it only appears when I ask</t>
  </si>
  <si>
    <t xml:space="preserve">A01</t>
  </si>
  <si>
    <t xml:space="preserve">BUD-11</t>
  </si>
  <si>
    <t xml:space="preserve">Three more buddies at launch</t>
  </si>
  <si>
    <t xml:space="preserve">As Zawadi (Sprout), I want a choice of four buddies, so that I can pick the one that matches me.</t>
  </si>
  <si>
    <t xml:space="preserve">1. GIVEN the launch release is installed
   WHEN I open Meet the buddies
   THEN four buddies, each with its own voice, animations and script, are available</t>
  </si>
  <si>
    <t xml:space="preserve">RWD-06</t>
  </si>
  <si>
    <t xml:space="preserve">Treasure room</t>
  </si>
  <si>
    <t xml:space="preserve">As Zawadi (Sprout), I want to decorate my buddy's room with furniture, wallpaper and pets, so that I have a cosy place that's mine.</t>
  </si>
  <si>
    <t xml:space="preserve">1. GIVEN I own room items
   WHEN I open the treasure room
   THEN I can drag items to placement spots, and the layout saves and syncs</t>
  </si>
  <si>
    <t xml:space="preserve">C19</t>
  </si>
  <si>
    <t xml:space="preserve">RWD-07</t>
  </si>
  <si>
    <t xml:space="preserve">Sticker albums with no randomness</t>
  </si>
  <si>
    <t xml:space="preserve">As Zawadi (Sprout), I want to buy sticker packs that show exactly what's inside, so that I know what I'm getting.</t>
  </si>
  <si>
    <t xml:space="preserve">1. GIVEN I view a sticker pack
   WHEN I open its details
   THEN every sticker in the pack is shown before I buy; there are no random draws</t>
  </si>
  <si>
    <t xml:space="preserve">RWD-10</t>
  </si>
  <si>
    <t xml:space="preserve">Game unlocks and trail decorations</t>
  </si>
  <si>
    <t xml:space="preserve">As Leo (Explorer), I want to spend treasures on extra game themes and trail decorations, so that there's more to save up for.</t>
  </si>
  <si>
    <t xml:space="preserve">1. GIVEN I buy a 'space' theme for memory
   WHEN I start memory
   THEN I can pick the space card backs</t>
  </si>
  <si>
    <t xml:space="preserve">BDG-05</t>
  </si>
  <si>
    <t xml:space="preserve">Hidden surprise badges</t>
  </si>
  <si>
    <t xml:space="preserve">As Leo (Explorer), I want secret badges I discover by accident, so that exploring is surprising.</t>
  </si>
  <si>
    <t xml:space="preserve">1. GIVEN a hidden badge exists
   WHEN I view the badge book
   THEN it shows as '???' until earned, then plays a special buddy dance</t>
  </si>
  <si>
    <t xml:space="preserve">BLD-11</t>
  </si>
  <si>
    <t xml:space="preserve">Custom trails</t>
  </si>
  <si>
    <t xml:space="preserve">As Grace (parent), I want to chain my lessons into a mini-trail with a checkpoint, so that I can make a learning journey like 'Our trip to the coast'.</t>
  </si>
  <si>
    <t xml:space="preserve">1. GIVEN I create a trail with 3 lessons and a jigsaw checkpoint
   WHEN my child opens Family Island
   THEN the trail appears as a winding path that unlocks in order</t>
  </si>
  <si>
    <t xml:space="preserve">C22, P13</t>
  </si>
  <si>
    <t xml:space="preserve">BLD-12</t>
  </si>
  <si>
    <t xml:space="preserve">Remix a built-in unit</t>
  </si>
  <si>
    <t xml:space="preserve">As Ms Priya (teacher), I want to copy a built-in unit and add or remove items, so that I can add local animals to Farm animals.</t>
  </si>
  <si>
    <t xml:space="preserve">1. GIVEN I tap 'Remix' on Farm animals
   WHEN I add 'camel' and remove 'pig'
   THEN a custom copy is saved in my library; the original is unchanged</t>
  </si>
  <si>
    <t xml:space="preserve">P10, P22</t>
  </si>
  <si>
    <t xml:space="preserve">BLD-10</t>
  </si>
  <si>
    <t xml:space="preserve">Card and storage limits by plan</t>
  </si>
  <si>
    <t xml:space="preserve">As Grace (parent), I want to see how many cards I've used, so that I'm not surprised by limits.</t>
  </si>
  <si>
    <t xml:space="preserve">1. GIVEN I'm on Free with 48 of 50 cards used
   WHEN I open the builder
   THEN a usage meter shows 48/50 and adding the 51st prompts an upgrade (behind the parent gate)</t>
  </si>
  <si>
    <t xml:space="preserve">S22</t>
  </si>
  <si>
    <t xml:space="preserve">PAY-01</t>
  </si>
  <si>
    <t xml:space="preserve">PAY</t>
  </si>
  <si>
    <t xml:space="preserve">Plans &amp; payments</t>
  </si>
  <si>
    <t xml:space="preserve">View plans</t>
  </si>
  <si>
    <t xml:space="preserve">As Grace (parent), I want to compare Free, Family and Classroom plans, so that I can decide whether to upgrade.</t>
  </si>
  <si>
    <t xml:space="preserve">1. GIVEN I open Plans behind the parent gate
   WHEN it loads
   THEN each plan's price, learner limit, content and creator limits are shown, with my current plan marked</t>
  </si>
  <si>
    <t xml:space="preserve">P21</t>
  </si>
  <si>
    <t xml:space="preserve">PAY-02</t>
  </si>
  <si>
    <t xml:space="preserve">Subscribe on the web</t>
  </si>
  <si>
    <t xml:space="preserve">As Grace (parent), I want to pay for the Family plan by card on the web, so that my children get everything.</t>
  </si>
  <si>
    <t xml:space="preserve">1. GIVEN I choose Family yearly
   WHEN I complete Stripe Checkout
   THEN the plan activates immediately on all devices and a receipt is emailed</t>
  </si>
  <si>
    <t xml:space="preserve">P21, P24</t>
  </si>
  <si>
    <t xml:space="preserve">PAY-03</t>
  </si>
  <si>
    <t xml:space="preserve">Subscribe in the Android app</t>
  </si>
  <si>
    <t xml:space="preserve">As Grace (parent), I want to subscribe through Google Play in the Android app, so that payment is simple on my phone.</t>
  </si>
  <si>
    <t xml:space="preserve">1. GIVEN I'm in the Android app
   WHEN I choose Family monthly
   THEN Google Play Billing is used, and the entitlement is verified server-side</t>
  </si>
  <si>
    <t xml:space="preserve">PAY-04</t>
  </si>
  <si>
    <t xml:space="preserve">Free tier limits</t>
  </si>
  <si>
    <t xml:space="preserve">As Grace (parent), I want the Free plan to give real value with clear limits, so that I can try before paying.</t>
  </si>
  <si>
    <t xml:space="preserve">1. GIVEN I'm on Free
   WHEN my child opens a locked unit
   THEN the buddy says it's part of the full trail and nothing is shown to the child about prices; the parent sees upgrade info behind the gate</t>
  </si>
  <si>
    <t xml:space="preserve">C05, P21</t>
  </si>
  <si>
    <t xml:space="preserve">PAY-05</t>
  </si>
  <si>
    <t xml:space="preserve">Classroom licence</t>
  </si>
  <si>
    <t xml:space="preserve">As Ms Priya (teacher), I want to buy a Classroom licence for one teacher, so that my class gets full access.</t>
  </si>
  <si>
    <t xml:space="preserve">1. GIVEN I buy a Classroom licence
   WHEN it activates
   THEN all my students get full access at school and at home while enrolled</t>
  </si>
  <si>
    <t xml:space="preserve">T01, P24</t>
  </si>
  <si>
    <t xml:space="preserve">PAY-06</t>
  </si>
  <si>
    <t xml:space="preserve">Manage and cancel subscription</t>
  </si>
  <si>
    <t xml:space="preserve">As Grace (parent), I want to change or cancel my plan easily, so that I'm in control.</t>
  </si>
  <si>
    <t xml:space="preserve">1. GIVEN I tap Cancel
   WHEN I confirm
   THEN the plan stays active until the period ends, then reverts to Free without deleting content (excess custom cards become read-only)</t>
  </si>
  <si>
    <t xml:space="preserve">P21, P25</t>
  </si>
  <si>
    <t xml:space="preserve">PAY-07</t>
  </si>
  <si>
    <t xml:space="preserve">No purchases from the child side</t>
  </si>
  <si>
    <t xml:space="preserve">As Steve (developer), I want every purchase or price behind the parent gate, so that children can never be targeted with upsells.</t>
  </si>
  <si>
    <t xml:space="preserve">1. GIVEN any screen in the child app
   WHEN it's audited
   THEN no price, upgrade button or purchase link is reachable without passing the parent gate</t>
  </si>
  <si>
    <t xml:space="preserve">CLS-08</t>
  </si>
  <si>
    <t xml:space="preserve">Move students between classes and archive</t>
  </si>
  <si>
    <t xml:space="preserve">As Ms Priya (teacher), I want to move a student or archive a class at year end, so that my classes stay tidy.</t>
  </si>
  <si>
    <t xml:space="preserve">1. GIVEN the school year ends
   WHEN I archive Class 1B
   THEN students can still play at home with their families; class data is kept per retention policy then deleted</t>
  </si>
  <si>
    <t xml:space="preserve">S23</t>
  </si>
  <si>
    <t xml:space="preserve">CRM-04</t>
  </si>
  <si>
    <t xml:space="preserve">Projector mode</t>
  </si>
  <si>
    <t xml:space="preserve">As Ms Priya (teacher), I want to run a lesson on the projector for the whole class, so that I can teach a new topic together.</t>
  </si>
  <si>
    <t xml:space="preserve">1. GIVEN I start a unit in projector mode
   WHEN it runs
   THEN large visuals, buddy voice and a 'class answers' tap mode run without recording individual progress</t>
  </si>
  <si>
    <t xml:space="preserve">SAF-09</t>
  </si>
  <si>
    <t xml:space="preserve">Age-appropriate privacy by learner age</t>
  </si>
  <si>
    <t xml:space="preserve">As Nia (Voyager), I want privacy rules to fit my age (under-13, 13–17, adult), so that my data is treated correctly.</t>
  </si>
  <si>
    <t xml:space="preserve">1. GIVEN a learner turns 13
   WHEN the age rules are applied
   THEN the teen settings become available according to the family's country
2. GIVEN a learner is under 13
   WHEN they use the app
   THEN no free-text input exists outside grown-up screens</t>
  </si>
  <si>
    <t xml:space="preserve">ACC-04</t>
  </si>
  <si>
    <t xml:space="preserve">Screen reader support in the grown-up zone</t>
  </si>
  <si>
    <t xml:space="preserve">As Grace (parent), I want the grown-up zone to work with TalkBack and screen readers, so that blind or low-vision parents can manage the app.</t>
  </si>
  <si>
    <t xml:space="preserve">1. GIVEN TalkBack is on
   WHEN I navigate the parent home
   THEN every control has a label and the focus order is logical</t>
  </si>
  <si>
    <t xml:space="preserve">ACC-05</t>
  </si>
  <si>
    <t xml:space="preserve">Dyslexia-friendly font option</t>
  </si>
  <si>
    <t xml:space="preserve">As Leo (Explorer), I want a dyslexia-friendly font for reading units, so that reading is easier for me.</t>
  </si>
  <si>
    <t xml:space="preserve">1. GIVEN the option is on
   WHEN a reading exercise shows
   THEN text uses the dyslexia-friendly font with increased spacing</t>
  </si>
  <si>
    <t xml:space="preserve">ACC-06</t>
  </si>
  <si>
    <t xml:space="preserve">Left-handed layouts</t>
  </si>
  <si>
    <t xml:space="preserve">As Zawadi (Sprout), I want drag games to suit left-handed children, so that my hand doesn't cover the targets.</t>
  </si>
  <si>
    <t xml:space="preserve">1. GIVEN left-handed mode is on
   WHEN a sort exercise shows
   THEN bins appear on the left and items on the right</t>
  </si>
  <si>
    <t xml:space="preserve">OPS-08</t>
  </si>
  <si>
    <t xml:space="preserve">Load and security review before launch</t>
  </si>
  <si>
    <t xml:space="preserve">As Steve (developer), I want a load test and security review before public launch, so that launch day is calm.</t>
  </si>
  <si>
    <t xml:space="preserve">1. GIVEN the launch candidate is ready
   WHEN a load test of 1,000 concurrent syncs runs
   THEN p95 sync latency stays under 500 ms and no errors occur
2. GIVEN the security checklist runs
   WHEN it completes
   THEN auth, scopes, uploads and secrets handling are verified and findings fixed</t>
  </si>
  <si>
    <t xml:space="preserve">ONB-04</t>
  </si>
  <si>
    <t xml:space="preserve">Sign in with Apple</t>
  </si>
  <si>
    <t xml:space="preserve">As Grace (parent), I want to sign in with Apple on an iPhone or iPad, so that I can use the app on Apple devices without a new password.</t>
  </si>
  <si>
    <t xml:space="preserve">1. GIVEN I'm on sign-up on iOS or Safari
   WHEN I choose "Continue with Apple"
   THEN an account is created, including when I hide my email</t>
  </si>
  <si>
    <t xml:space="preserve">P5</t>
  </si>
  <si>
    <t xml:space="preserve">MAP-08</t>
  </si>
  <si>
    <t xml:space="preserve">Regions for higher bands</t>
  </si>
  <si>
    <t xml:space="preserve">As Nia (Voyager), I want each subject place to grow new regions as I level up, so that the trail keeps going.</t>
  </si>
  <si>
    <t xml:space="preserve">1. GIVEN I reach Voyager units in Numbers
   WHEN I open the map
   THEN Numbers Mountain shows a new 'summit' region with Voyager units</t>
  </si>
  <si>
    <t xml:space="preserve">LES-15</t>
  </si>
  <si>
    <t xml:space="preserve">Older-band exercise types</t>
  </si>
  <si>
    <t xml:space="preserve">As Nia (Voyager), I want typed answers, labelling diagrams, read-and-answer and multi-step problems, so that lessons challenge me.</t>
  </si>
  <si>
    <t xml:space="preserve">1. GIVEN I'm in a Voyager unit
   WHEN an exercise asks for a typed number
   THEN a numeric keypad appears and answers are checked with forgiving matching
2. GIVEN a diagram exercise appears
   WHEN I drag labels onto the diagram
   THEN each label snaps to its target zone and is checked</t>
  </si>
  <si>
    <t xml:space="preserve">ASN-06</t>
  </si>
  <si>
    <t xml:space="preserve">Curriculum tags</t>
  </si>
  <si>
    <t xml:space="preserve">As Ms Priya (teacher), I want units tagged with curriculum objectives, so that I can find units that match what I'm teaching.</t>
  </si>
  <si>
    <t xml:space="preserve">1. GIVEN I filter by 'Counting to 20'
   WHEN I browse units
   THEN units tagged with that objective are shown</t>
  </si>
  <si>
    <t xml:space="preserve">CNT-07</t>
  </si>
  <si>
    <t xml:space="preserve">Higher-band units roll-out</t>
  </si>
  <si>
    <t xml:space="preserve">As Nia (Voyager), I want Voyager units in Maths, Reading and Space first, so that the app grows with me.</t>
  </si>
  <si>
    <t xml:space="preserve">1. GIVEN Voyager content is released for a subject
   WHEN I'm 9–12 or placed at Voyager
   THEN the units appear on my trail</t>
  </si>
  <si>
    <t xml:space="preserve">CNT-08</t>
  </si>
  <si>
    <t xml:space="preserve">Post-launch subjects</t>
  </si>
  <si>
    <t xml:space="preserve">As Leo (Explorer), I want Food, Family &amp; community, Kindness &amp; citizenship, Money &amp; saving, Music, Countries &amp; cultures, Coding &amp; logic, so that there's always something new.</t>
  </si>
  <si>
    <t xml:space="preserve">1. GIVEN a post-launch subject wave is released
   WHEN I open my map
   THEN the new places appear with a 'New!' flag</t>
  </si>
  <si>
    <t xml:space="preserve">OLD-01</t>
  </si>
  <si>
    <t xml:space="preserve">OLD</t>
  </si>
  <si>
    <t xml:space="preserve">Older learners (teens &amp; adults)</t>
  </si>
  <si>
    <t xml:space="preserve">Mature look for older learners</t>
  </si>
  <si>
    <t xml:space="preserve">As Nia (Voyager), I want a cleaner 'explorer' theme, so that the app feels like it's for me.</t>
  </si>
  <si>
    <t xml:space="preserve">1. GIVEN my age stage is 8–12
   WHEN I open the app
   THEN the map and lessons use the explorer theme with optional dark mode</t>
  </si>
  <si>
    <t xml:space="preserve">OLD-02</t>
  </si>
  <si>
    <t xml:space="preserve">Teen sign-in</t>
  </si>
  <si>
    <t xml:space="preserve">As Nia (Voyager), I want my own sign-in linked to my parent's account when I'm a teen, so that I can learn on my own device.</t>
  </si>
  <si>
    <t xml:space="preserve">1. GIVEN my parent enables teen sign-in for me (13+)
   WHEN I sign in with my own email or a family code
   THEN I get my profile only, and my parent keeps oversight</t>
  </si>
  <si>
    <t xml:space="preserve">A01, A02</t>
  </si>
  <si>
    <t xml:space="preserve">OLD-03</t>
  </si>
  <si>
    <t xml:space="preserve">Self-made flashcard trails</t>
  </si>
  <si>
    <t xml:space="preserve">As Joseph (adult learner), I want to make my own flashcard trail with self-rating, so that I can study anything.</t>
  </si>
  <si>
    <t xml:space="preserve">1. GIVEN I create a trail of 20 cards
   WHEN I study
   THEN cards are rated 'knew it / almost / not yet' and scheduled with spaced repetition</t>
  </si>
  <si>
    <t xml:space="preserve">OLD-04</t>
  </si>
  <si>
    <t xml:space="preserve">Personal records instead of confetti</t>
  </si>
  <si>
    <t xml:space="preserve">As Nia (Voyager), I want to turn off celebrations and see personal records, so that I'm not distracted.</t>
  </si>
  <si>
    <t xml:space="preserve">1. GIVEN celebrations are off
   WHEN I finish a lesson
   THEN a compact summary shows stars, accuracy and personal bests</t>
  </si>
  <si>
    <t xml:space="preserve">OLD-05</t>
  </si>
  <si>
    <t xml:space="preserve">Family challenges</t>
  </si>
  <si>
    <t xml:space="preserve">As Joseph (adult learner), I want a cooperative family goal, so that we learn together.</t>
  </si>
  <si>
    <t xml:space="preserve">1. GIVEN Grace sets 'The family completes 30 lessons this week'
   WHEN any family learner completes a lesson
   THEN the shared progress bar fills; the reward goes to everyone when it's reached; there is no ranking between children</t>
  </si>
  <si>
    <t xml:space="preserve">A01, P08</t>
  </si>
  <si>
    <t xml:space="preserve">MOB-07</t>
  </si>
  <si>
    <t xml:space="preserve">iOS app</t>
  </si>
  <si>
    <t xml:space="preserve">As Grace (parent), I want an iPhone/iPad app, so that family members with Apple devices can use it.</t>
  </si>
  <si>
    <t xml:space="preserve">1. GIVEN the iOS build is released
   WHEN I install it from the App Store
   THEN it has the same features as Android, using Apple In-App Purchase for subscriptions</t>
  </si>
  <si>
    <t xml:space="preserve">SCH-01</t>
  </si>
  <si>
    <t xml:space="preserve">SCH</t>
  </si>
  <si>
    <t xml:space="preserve">School administration</t>
  </si>
  <si>
    <t xml:space="preserve">School licence and seats</t>
  </si>
  <si>
    <t xml:space="preserve">Sam (school admin)</t>
  </si>
  <si>
    <t xml:space="preserve">As Sam (school admin), I want to buy a school licence and assign teacher seats, so that billing is one invoice.</t>
  </si>
  <si>
    <t xml:space="preserve">1. GIVEN I buy a 6-teacher licence
   WHEN I invite teachers by email
   THEN each accepted teacher gets Classroom features under the school</t>
  </si>
  <si>
    <t xml:space="preserve">S01</t>
  </si>
  <si>
    <t xml:space="preserve">SCH-02</t>
  </si>
  <si>
    <t xml:space="preserve">School-wide reports</t>
  </si>
  <si>
    <t xml:space="preserve">As Sam (school admin), I want usage and progress reports across all classes, so that I can see impact.</t>
  </si>
  <si>
    <t xml:space="preserve">1. GIVEN I open School reports
   WHEN it loads
   THEN I see active learners, lessons and progress per class, without individual child details unless the teacher shares them</t>
  </si>
  <si>
    <t xml:space="preserve">S02</t>
  </si>
  <si>
    <t xml:space="preserve">SCH-03</t>
  </si>
  <si>
    <t xml:space="preserve">Data processing agreement</t>
  </si>
  <si>
    <t xml:space="preserve">As Sam (school admin), I want to accept a data processing agreement online, so that the school meets its data-protection duties.</t>
  </si>
  <si>
    <t xml:space="preserve">1. GIVEN I open Legal in the school admin
   WHEN I accept the DPA
   THEN acceptance is recorded with name, role, date and version and a PDF copy is emailed</t>
  </si>
  <si>
    <t xml:space="preserve">SCH-04</t>
  </si>
  <si>
    <t xml:space="preserve">Shared school library</t>
  </si>
  <si>
    <t xml:space="preserve">As Sam (school admin), I want lessons shared across all teachers in the school, so that teachers don't duplicate work.</t>
  </si>
  <si>
    <t xml:space="preserve">1. GIVEN a teacher publishes a lesson to the school library
   WHEN another teacher opens the library
   THEN they can assign it directly</t>
  </si>
  <si>
    <t xml:space="preserve">AI-01</t>
  </si>
  <si>
    <t xml:space="preserve">AI</t>
  </si>
  <si>
    <t xml:space="preserve">AI features</t>
  </si>
  <si>
    <t xml:space="preserve">Say-it exercises with speech recognition</t>
  </si>
  <si>
    <t xml:space="preserve">As Zawadi (Sprout), I want to say the answer out loud, so that I practise speaking and reading aloud.</t>
  </si>
  <si>
    <t xml:space="preserve">1. GIVEN a parent has enabled speech features
   WHEN a say-it exercise shows
   THEN my speech is recognised (on the device where possible), checked, and no audio is stored</t>
  </si>
  <si>
    <t xml:space="preserve">AI-02</t>
  </si>
  <si>
    <t xml:space="preserve">Guard-railed conversational hints</t>
  </si>
  <si>
    <t xml:space="preserve">As Leo (Explorer), I want the buddy to explain things in different ways when I'm stuck, so that I understand, not just get the answer.</t>
  </si>
  <si>
    <t xml:space="preserve">1. GIVEN AI hints are enabled
   WHEN I'm stuck on a question
   THEN the buddy gives an age-appropriate explanation limited to the current exercise; there is no free chat</t>
  </si>
  <si>
    <t xml:space="preserve">AI-03</t>
  </si>
  <si>
    <t xml:space="preserve">AI-assisted lesson builder</t>
  </si>
  <si>
    <t xml:space="preserve">As Ms Priya (teacher), I want to describe a lesson and get a draft to edit, so that I can build lessons in seconds.</t>
  </si>
  <si>
    <t xml:space="preserve">1. GIVEN I type 'A 6-card lesson about African birds for 5-year-olds'
   WHEN I generate
   THEN a draft lesson with cards from the licensed library and facts is created for me to review before anyone can play it</t>
  </si>
  <si>
    <t xml:space="preserve">AI-04</t>
  </si>
  <si>
    <t xml:space="preserve">Auto-tag uploaded photos</t>
  </si>
  <si>
    <t xml:space="preserve">As Grace (parent), I want photos to be auto-tagged with suggested labels and categories, so that making sort games is quicker.</t>
  </si>
  <si>
    <t xml:space="preserve">1. GIVEN I upload a photo of a goat
   WHEN processing finishes
   THEN 'goat' and 'farm animal' are suggested and I can accept or change them</t>
  </si>
  <si>
    <t xml:space="preserve">LOC-02</t>
  </si>
  <si>
    <t xml:space="preserve">Choose the app language per learner</t>
  </si>
  <si>
    <t xml:space="preserve">As Grace (parent), I want to choose the language for each learner and for the grown-up zone, so that my children can learn in Kiswahili while I use English.</t>
  </si>
  <si>
    <t xml:space="preserve">1. GIVEN Kiswahili is available
   WHEN I set Amani's language to Kiswahili
   THEN his map, buddy voice, instructions and content words switch to Kiswahili; Zawadi stays in English
2. GIVEN a unit isn't translated yet
   WHEN Amani opens it
   THEN it's shown with a 'Coming soon in Kiswahili' tag and can be played in English if I allow it</t>
  </si>
  <si>
    <t xml:space="preserve">P29</t>
  </si>
  <si>
    <t xml:space="preserve">LOC-03</t>
  </si>
  <si>
    <t xml:space="preserve">Translated content and voice packs</t>
  </si>
  <si>
    <t xml:space="preserve">As Steve (developer), I want content packs and voice packs built per language from the same unit files, so that each language ships without duplicating lesson logic.</t>
  </si>
  <si>
    <t xml:space="preserve">1. GIVEN a unit has Kiswahili translations and audio
   WHEN the content build runs
   THEN a Kiswahili pack is produced and validated, and missing items are listed in the build report</t>
  </si>
  <si>
    <t xml:space="preserve">LOC-04</t>
  </si>
  <si>
    <t xml:space="preserve">Bilingual mode</t>
  </si>
  <si>
    <t xml:space="preserve">As Grace (parent), I want an option for the buddy to say each new word in two languages, so that my child learns English and Kiswahili side by side.</t>
  </si>
  <si>
    <t xml:space="preserve">1. GIVEN bilingual mode is on with English + Kiswahili
   WHEN a new item is introduced
   THEN the buddy says it in the learner's language first, then the second language, and the card shows both words</t>
  </si>
  <si>
    <t xml:space="preserve">Backlog summary (all formulas: updates as the Backlog sheet changes)</t>
  </si>
  <si>
    <t xml:space="preserve">Stories</t>
  </si>
  <si>
    <t xml:space="preserve">Done (stories)</t>
  </si>
  <si>
    <t xml:space="preserve">Done (points)</t>
  </si>
  <si>
    <t xml:space="preserve">% points done</t>
  </si>
  <si>
    <t xml:space="preserve">Phase 1 — MVP (closed web beta)</t>
  </si>
  <si>
    <t xml:space="preserve">Phase 2 — Beta iteration + Classroom</t>
  </si>
  <si>
    <t xml:space="preserve">Phase 3 — React Native Android app</t>
  </si>
  <si>
    <t xml:space="preserve">Phase 4 — Breadth + public launch</t>
  </si>
  <si>
    <t xml:space="preserve">Phase 5 — Post-launch</t>
  </si>
  <si>
    <t xml:space="preserve">Total</t>
  </si>
  <si>
    <t xml:space="preserve">MVP points per sprint (8 sprints)</t>
  </si>
  <si>
    <t xml:space="preserve">Name</t>
  </si>
  <si>
    <t xml:space="preserve">% done</t>
  </si>
  <si>
    <t xml:space="preserve">S13</t>
  </si>
  <si>
    <t xml:space="preserve">S15</t>
  </si>
  <si>
    <t xml:space="preserve">S24</t>
  </si>
  <si>
    <t xml:space="preserve">Age</t>
  </si>
  <si>
    <t xml:space="preserve">Role</t>
  </si>
  <si>
    <t xml:space="preserve">Needs</t>
  </si>
  <si>
    <t xml:space="preserve">Frustrations</t>
  </si>
  <si>
    <t xml:space="preserve">Amani</t>
  </si>
  <si>
    <t xml:space="preserve">3</t>
  </si>
  <si>
    <t xml:space="preserve">Learner (Seedling, 3–4)</t>
  </si>
  <si>
    <t xml:space="preserve">Can't read yet. Loves animals and tapping things. Plays on the family's budget Android tablet, usually for 10–15 minutes after nursery, with Mum nearby.</t>
  </si>
  <si>
    <t xml:space="preserve">Everything spoken aloud; big targets; no failure states; lots of praise; quick wins.</t>
  </si>
  <si>
    <t xml:space="preserve">Small buttons, text instructions, anything that takes too long to load.</t>
  </si>
  <si>
    <t xml:space="preserve">Zawadi</t>
  </si>
  <si>
    <t xml:space="preserve">6</t>
  </si>
  <si>
    <t xml:space="preserve">Learner (Sprout, 5–6)</t>
  </si>
  <si>
    <t xml:space="preserve">Amani's older sister. Learning to read and count to 100. Very motivated by collecting stickers and dressing up her buddy. Plays at home and in class.</t>
  </si>
  <si>
    <t xml:space="preserve">Visible progress; rewards to save up for; feeling 'big' compared with her little brother.</t>
  </si>
  <si>
    <t xml:space="preserve">Repeating lessons she already knows; her brother playing on her profile.</t>
  </si>
  <si>
    <t xml:space="preserve">Leo</t>
  </si>
  <si>
    <t xml:space="preserve">8</t>
  </si>
  <si>
    <t xml:space="preserve">Learner (Explorer, 7–8)</t>
  </si>
  <si>
    <t xml:space="preserve">Confident reader, obsessed with space and football. Likes challenges and getting things right first time.</t>
  </si>
  <si>
    <t xml:space="preserve">Harder questions, real facts, a sense of mastery; less babyish feedback.</t>
  </si>
  <si>
    <t xml:space="preserve">Being made to do easy stuff; slow celebrations that stop him moving on.</t>
  </si>
  <si>
    <t xml:space="preserve">Nia</t>
  </si>
  <si>
    <t xml:space="preserve">11</t>
  </si>
  <si>
    <t xml:space="preserve">Learner (Voyager, 9–12)</t>
  </si>
  <si>
    <t xml:space="preserve">Uses the app for maths practice and planets. Has her own PIN. Wants it to feel grown-up.</t>
  </si>
  <si>
    <t xml:space="preserve">A cooler look, typed answers, her own goals, privacy from younger siblings.</t>
  </si>
  <si>
    <t xml:space="preserve">Cartoonish UI, being treated like a little kid.</t>
  </si>
  <si>
    <t xml:space="preserve">Grace</t>
  </si>
  <si>
    <t xml:space="preserve">34</t>
  </si>
  <si>
    <t xml:space="preserve">Parent (account owner)</t>
  </si>
  <si>
    <t xml:space="preserve">Mum of Amani and Zawadi. Works full-time, uses an Android phone. Wants screen time that is actually educational and wants to add the family's own world (their farm, their grandparents) to lessons.</t>
  </si>
  <si>
    <t xml:space="preserve">Fast set-up; clear progress at a glance; making a custom lesson in under 5 minutes; control of screen time.</t>
  </si>
  <si>
    <t xml:space="preserve">Ads, upsells aimed at kids, apps that need constant supervision.</t>
  </si>
  <si>
    <t xml:space="preserve">Tom</t>
  </si>
  <si>
    <t xml:space="preserve">41</t>
  </si>
  <si>
    <t xml:space="preserve">Second parent / guardian</t>
  </si>
  <si>
    <t xml:space="preserve">Leo's dad. Travels for work, checks progress from his phone and likes to award badges remotely for things Leo does at home.</t>
  </si>
  <si>
    <t xml:space="preserve">View progress, award a badge, approve a wish from anywhere.</t>
  </si>
  <si>
    <t xml:space="preserve">Being locked out because only one parent set up the account.</t>
  </si>
  <si>
    <t xml:space="preserve">Ms Priya</t>
  </si>
  <si>
    <t xml:space="preserve">29</t>
  </si>
  <si>
    <t xml:space="preserve">Teacher (early-years / primary)</t>
  </si>
  <si>
    <t xml:space="preserve">Teaches a class of 26 five-and-six-year-olds with 8 shared tablets and a projector. Makes her own weekly spelling and topic lessons.</t>
  </si>
  <si>
    <t xml:space="preserve">Quick class set-up; assigning work to groups; seeing who's stuck; reusing and sharing lessons with colleagues.</t>
  </si>
  <si>
    <t xml:space="preserve">Kids forgetting passwords; spending lesson time on logins; tools that don't work offline when the Wi-Fi drops.</t>
  </si>
  <si>
    <t xml:space="preserve">Joseph</t>
  </si>
  <si>
    <t xml:space="preserve">46</t>
  </si>
  <si>
    <t xml:space="preserve">Adult learner</t>
  </si>
  <si>
    <t xml:space="preserve">Grace's uncle. Is improving his reading and wants to learn alongside the grandchildren. Uses the 'Add me too' adult profile.</t>
  </si>
  <si>
    <t xml:space="preserve">Adult look; no childish tone; private progress; start at the right level.</t>
  </si>
  <si>
    <t xml:space="preserve">Feeling patronised; public comparisons.</t>
  </si>
  <si>
    <t xml:space="preserve">Sam</t>
  </si>
  <si>
    <t xml:space="preserve">50</t>
  </si>
  <si>
    <t xml:space="preserve">School administrator</t>
  </si>
  <si>
    <t xml:space="preserve">Runs a small primary school with 6 teachers. Buys the school licence and manages teacher seats.</t>
  </si>
  <si>
    <t xml:space="preserve">Simple licence and seat management; data-protection paperwork; school-wide reports.</t>
  </si>
  <si>
    <t xml:space="preserve">Per-teacher billing chaos; unclear data handling.</t>
  </si>
  <si>
    <t xml:space="preserve">—</t>
  </si>
  <si>
    <t xml:space="preserve">Developer / product owner</t>
  </si>
  <si>
    <t xml:space="preserve">Builds the product solo with Claude. Needs fast feedback, safe releases and content that can be added without code changes.</t>
  </si>
  <si>
    <t xml:space="preserve">Automated checks, reliable deploys, a content pipeline.</t>
  </si>
  <si>
    <t xml:space="preserve">Manual, error-prone release steps.</t>
  </si>
  <si>
    <t xml:space="preserve">Screen</t>
  </si>
  <si>
    <t xml:space="preserve">Device</t>
  </si>
  <si>
    <t xml:space="preserve">Prototype artboard</t>
  </si>
  <si>
    <t xml:space="preserve">Stories (count)</t>
  </si>
  <si>
    <t xml:space="preserve">Welcome</t>
  </si>
  <si>
    <t xml:space="preserve">Phone</t>
  </si>
  <si>
    <t xml:space="preserve">P01-Welcome.dc.html</t>
  </si>
  <si>
    <t xml:space="preserve">Sign up</t>
  </si>
  <si>
    <t xml:space="preserve">P02-SignUp.dc.html</t>
  </si>
  <si>
    <t xml:space="preserve">Parental consent</t>
  </si>
  <si>
    <t xml:space="preserve">P03-Consent.dc.html</t>
  </si>
  <si>
    <t xml:space="preserve">Add learners</t>
  </si>
  <si>
    <t xml:space="preserve">P04-AddLearners.dc.html</t>
  </si>
  <si>
    <t xml:space="preserve">Interests &amp; starting point</t>
  </si>
  <si>
    <t xml:space="preserve">P05-Interests.dc.html</t>
  </si>
  <si>
    <t xml:space="preserve">Family settings &amp; hand-over</t>
  </si>
  <si>
    <t xml:space="preserve">P06-FamilySettings.dc.html</t>
  </si>
  <si>
    <t xml:space="preserve">Parent home</t>
  </si>
  <si>
    <t xml:space="preserve">P08-ParentHome.dc.html</t>
  </si>
  <si>
    <t xml:space="preserve">Child progress</t>
  </si>
  <si>
    <t xml:space="preserve">P09-ChildProgress.dc.html</t>
  </si>
  <si>
    <t xml:space="preserve">Lesson Builder: cards</t>
  </si>
  <si>
    <t xml:space="preserve">P10-BuilderCards.dc.html</t>
  </si>
  <si>
    <t xml:space="preserve">Lesson Builder: add card</t>
  </si>
  <si>
    <t xml:space="preserve">P11-BuilderAddCard.dc.html</t>
  </si>
  <si>
    <t xml:space="preserve">Lesson Builder: template &amp; assign</t>
  </si>
  <si>
    <t xml:space="preserve">P12-BuilderTemplate.dc.html</t>
  </si>
  <si>
    <t xml:space="preserve">Badge Studio: design</t>
  </si>
  <si>
    <t xml:space="preserve">P14-BadgeDesign.dc.html</t>
  </si>
  <si>
    <t xml:space="preserve">Badge Studio: rule &amp; reward</t>
  </si>
  <si>
    <t xml:space="preserve">P15-BadgeRule.dc.html</t>
  </si>
  <si>
    <t xml:space="preserve">Wishes &amp; awards</t>
  </si>
  <si>
    <t xml:space="preserve">P16-Wishes.dc.html</t>
  </si>
  <si>
    <t xml:space="preserve">Share codes</t>
  </si>
  <si>
    <t xml:space="preserve">P17-ShareCodes.dc.html</t>
  </si>
  <si>
    <t xml:space="preserve">Settings, limits &amp; privacy</t>
  </si>
  <si>
    <t xml:space="preserve">P18-Settings.dc.html</t>
  </si>
  <si>
    <t xml:space="preserve">Family members</t>
  </si>
  <si>
    <t xml:space="preserve">P19-FamilyMembers.dc.html</t>
  </si>
  <si>
    <t xml:space="preserve">Join a class</t>
  </si>
  <si>
    <t xml:space="preserve">P20-JoinClass.dc.html</t>
  </si>
  <si>
    <t xml:space="preserve">Plans</t>
  </si>
  <si>
    <t xml:space="preserve">P21-Plans.dc.html</t>
  </si>
  <si>
    <t xml:space="preserve">Who's playing?</t>
  </si>
  <si>
    <t xml:space="preserve">Tablet</t>
  </si>
  <si>
    <t xml:space="preserve">Main.dc.html</t>
  </si>
  <si>
    <t xml:space="preserve">Classroom picture password</t>
  </si>
  <si>
    <t xml:space="preserve">C02-PicturePassword.dc.html</t>
  </si>
  <si>
    <t xml:space="preserve">Meet the buddies</t>
  </si>
  <si>
    <t xml:space="preserve">C03-ChooseBuddy.dc.html</t>
  </si>
  <si>
    <t xml:space="preserve">World map</t>
  </si>
  <si>
    <t xml:space="preserve">C04-WorldMap.dc.html</t>
  </si>
  <si>
    <t xml:space="preserve">Subject trail</t>
  </si>
  <si>
    <t xml:space="preserve">C05-Trail.dc.html</t>
  </si>
  <si>
    <t xml:space="preserve">Lesson: listen &amp; tap</t>
  </si>
  <si>
    <t xml:space="preserve">C07-ListenTap.dc.html</t>
  </si>
  <si>
    <t xml:space="preserve">Lesson: match pairs</t>
  </si>
  <si>
    <t xml:space="preserve">C08-Match.dc.html</t>
  </si>
  <si>
    <t xml:space="preserve">Lesson: sort into bins</t>
  </si>
  <si>
    <t xml:space="preserve">C09-Sort.dc.html</t>
  </si>
  <si>
    <t xml:space="preserve">Lesson: hint</t>
  </si>
  <si>
    <t xml:space="preserve">C11-Hint.dc.html</t>
  </si>
  <si>
    <t xml:space="preserve">Lesson complete</t>
  </si>
  <si>
    <t xml:space="preserve">C12-LessonComplete.dc.html</t>
  </si>
  <si>
    <t xml:space="preserve">Badge earned</t>
  </si>
  <si>
    <t xml:space="preserve">C13-BadgeEarned.dc.html</t>
  </si>
  <si>
    <t xml:space="preserve">C14</t>
  </si>
  <si>
    <t xml:space="preserve">Unit checkpoint</t>
  </si>
  <si>
    <t xml:space="preserve">C14-Checkpoint.dc.html</t>
  </si>
  <si>
    <t xml:space="preserve">Game: jigsaw</t>
  </si>
  <si>
    <t xml:space="preserve">C15-Jigsaw.dc.html</t>
  </si>
  <si>
    <t xml:space="preserve">Game: memory</t>
  </si>
  <si>
    <t xml:space="preserve">C16-Memory.dc.html</t>
  </si>
  <si>
    <t xml:space="preserve">C17-GamesCorner.dc.html</t>
  </si>
  <si>
    <t xml:space="preserve">C18-Shop.dc.html</t>
  </si>
  <si>
    <t xml:space="preserve">C19-TreasureRoom.dc.html</t>
  </si>
  <si>
    <t xml:space="preserve">Badge book</t>
  </si>
  <si>
    <t xml:space="preserve">C20-BadgeBook.dc.html</t>
  </si>
  <si>
    <t xml:space="preserve">C21</t>
  </si>
  <si>
    <t xml:space="preserve">My wishes</t>
  </si>
  <si>
    <t xml:space="preserve">C21-Wishes.dc.html</t>
  </si>
  <si>
    <t xml:space="preserve">C22</t>
  </si>
  <si>
    <t xml:space="preserve">Family &amp; class island</t>
  </si>
  <si>
    <t xml:space="preserve">C22-Island.dc.html</t>
  </si>
  <si>
    <t xml:space="preserve">Time for a break</t>
  </si>
  <si>
    <t xml:space="preserve">C23-Break.dc.html</t>
  </si>
  <si>
    <t xml:space="preserve">Grown-ups gate</t>
  </si>
  <si>
    <t xml:space="preserve">C24-Gate.dc.html</t>
  </si>
  <si>
    <t xml:space="preserve">Teacher home</t>
  </si>
  <si>
    <t xml:space="preserve">Desktop</t>
  </si>
  <si>
    <t xml:space="preserve">T01-TeacherHome.dc.html</t>
  </si>
  <si>
    <t xml:space="preserve">Class roster &amp; join code</t>
  </si>
  <si>
    <t xml:space="preserve">T02-Roster.dc.html</t>
  </si>
  <si>
    <t xml:space="preserve">T03-Assign.dc.html</t>
  </si>
  <si>
    <t xml:space="preserve">Class progress</t>
  </si>
  <si>
    <t xml:space="preserve">T04-ClassProgress.dc.html</t>
  </si>
  <si>
    <t xml:space="preserve">Classroom mode &amp; badge wall</t>
  </si>
  <si>
    <t xml:space="preserve">T06-ClassroomMode.dc.html</t>
  </si>
  <si>
    <t xml:space="preserve">Teen / adult home</t>
  </si>
  <si>
    <t xml:space="preserve">A01-OlderHome.dc.html</t>
  </si>
  <si>
    <t xml:space="preserve">P07</t>
  </si>
  <si>
    <t xml:space="preserve">Check your email / expired link</t>
  </si>
  <si>
    <t xml:space="preserve">P07-CheckEmail.dc.html</t>
  </si>
  <si>
    <t xml:space="preserve">P13</t>
  </si>
  <si>
    <t xml:space="preserve">Custom trail builder</t>
  </si>
  <si>
    <t xml:space="preserve">P13-TrailBuilder.dc.html</t>
  </si>
  <si>
    <t xml:space="preserve">P22</t>
  </si>
  <si>
    <t xml:space="preserve">P22-Remix.dc.html</t>
  </si>
  <si>
    <t xml:space="preserve">P23</t>
  </si>
  <si>
    <t xml:space="preserve">P23-Import.dc.html</t>
  </si>
  <si>
    <t xml:space="preserve">P24</t>
  </si>
  <si>
    <t xml:space="preserve">Checkout</t>
  </si>
  <si>
    <t xml:space="preserve">P24-Checkout.dc.html</t>
  </si>
  <si>
    <t xml:space="preserve">P25</t>
  </si>
  <si>
    <t xml:space="preserve">Cancel subscription</t>
  </si>
  <si>
    <t xml:space="preserve">P25-Cancel.dc.html</t>
  </si>
  <si>
    <t xml:space="preserve">Errors, offline &amp; storage states</t>
  </si>
  <si>
    <t xml:space="preserve">P26-States.dc.html</t>
  </si>
  <si>
    <t xml:space="preserve">Record letter sounds</t>
  </si>
  <si>
    <t xml:space="preserve">P28-LetterSounds.dc.html</t>
  </si>
  <si>
    <t xml:space="preserve">Language settings</t>
  </si>
  <si>
    <t xml:space="preserve">P29-Languages.dc.html</t>
  </si>
  <si>
    <t xml:space="preserve">P30-Help.dc.html</t>
  </si>
  <si>
    <t xml:space="preserve">C06</t>
  </si>
  <si>
    <t xml:space="preserve">C06-Placement.dc.html</t>
  </si>
  <si>
    <t xml:space="preserve">C10</t>
  </si>
  <si>
    <t xml:space="preserve">Review lesson</t>
  </si>
  <si>
    <t xml:space="preserve">C10-Review.dc.html</t>
  </si>
  <si>
    <t xml:space="preserve">C25</t>
  </si>
  <si>
    <t xml:space="preserve">C25-Trace.dc.html</t>
  </si>
  <si>
    <t xml:space="preserve">C26</t>
  </si>
  <si>
    <t xml:space="preserve">C26-Clock.dc.html</t>
  </si>
  <si>
    <t xml:space="preserve">C27</t>
  </si>
  <si>
    <t xml:space="preserve">C27-BuildWord.dc.html</t>
  </si>
  <si>
    <t xml:space="preserve">C28</t>
  </si>
  <si>
    <t xml:space="preserve">C28-TrueFalse.dc.html</t>
  </si>
  <si>
    <t xml:space="preserve">First visit, offline &amp; locked states</t>
  </si>
  <si>
    <t xml:space="preserve">C29-ChildStates.dc.html</t>
  </si>
  <si>
    <t xml:space="preserve">A02</t>
  </si>
  <si>
    <t xml:space="preserve">A02-TeenSignIn.dc.html</t>
  </si>
  <si>
    <t xml:space="preserve">T00</t>
  </si>
  <si>
    <t xml:space="preserve">T00-TeacherSignUp.dc.html</t>
  </si>
  <si>
    <t xml:space="preserve">T05</t>
  </si>
  <si>
    <t xml:space="preserve">Teacher Badge Studio</t>
  </si>
  <si>
    <t xml:space="preserve">T05-TeacherBadges.dc.html</t>
  </si>
  <si>
    <t xml:space="preserve">School admin: licence &amp; teachers</t>
  </si>
  <si>
    <t xml:space="preserve">S01-SchoolAdmin.dc.html</t>
  </si>
  <si>
    <t xml:space="preserve">School reports &amp; library</t>
  </si>
  <si>
    <t xml:space="preserve">S02-SchoolReports.dc.html</t>
  </si>
  <si>
    <t xml:space="preserve">M01-Moderation.dc.html</t>
  </si>
  <si>
    <t xml:space="preserve">Due</t>
  </si>
  <si>
    <t xml:space="preserve">2027-02-26</t>
  </si>
  <si>
    <t xml:space="preserve">2027-04-23</t>
  </si>
  <si>
    <t xml:space="preserve">In progress</t>
  </si>
  <si>
    <t xml:space="preserve">2027-07-30</t>
  </si>
  <si>
    <t xml:space="preserve">In review</t>
  </si>
  <si>
    <t xml:space="preserve">2027-11-05</t>
  </si>
  <si>
    <t xml:space="preserve">Done</t>
  </si>
  <si>
    <t xml:space="preserve">2028-06-30</t>
  </si>
  <si>
    <t xml:space="preserve">Blocked</t>
  </si>
  <si>
    <t xml:space="preserve">Won't do</t>
  </si>
</sst>
</file>

<file path=xl/styles.xml><?xml version="1.0" encoding="utf-8"?>
<styleSheet xmlns="http://schemas.openxmlformats.org/spreadsheetml/2006/main">
  <numFmts count="3">
    <numFmt numFmtId="164" formatCode="General"/>
    <numFmt numFmtId="165" formatCode="0.0%"/>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b val="true"/>
      <sz val="10"/>
      <name val="Arial"/>
      <family val="0"/>
      <charset val="1"/>
    </font>
    <font>
      <b val="true"/>
      <sz val="11"/>
      <color rgb="FFFFFFFF"/>
      <name val="Arial"/>
      <family val="0"/>
      <charset val="1"/>
    </font>
    <font>
      <b val="true"/>
      <sz val="14"/>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B8860B"/>
        <bgColor rgb="FFFF9900"/>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B8860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Backlog" displayName="Backlog" ref="A1:Q229" headerRowCount="1" totalsRowCount="0" totalsRowShown="0">
  <autoFilter ref="A1:Q229"/>
  <tableColumns count="17">
    <tableColumn id="1" name="ID"/>
    <tableColumn id="2" name="Epic"/>
    <tableColumn id="3" name="Epic name"/>
    <tableColumn id="4" name="Title"/>
    <tableColumn id="5" name="Persona / role"/>
    <tableColumn id="6" name="User story"/>
    <tableColumn id="7" name="Acceptance criteria (Given / When / Then)"/>
    <tableColumn id="8" name="Priority"/>
    <tableColumn id="9" name="Size"/>
    <tableColumn id="10" name="Points"/>
    <tableColumn id="11" name="Milestone"/>
    <tableColumn id="12" name="Sprint"/>
    <tableColumn id="13" name="Screens"/>
    <tableColumn id="14" name="Status"/>
    <tableColumn id="15" name="Owner"/>
    <tableColumn id="16" name="GitHub #"/>
    <tableColumn id="17"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0"/>
  </cols>
  <sheetData>
    <row r="1" customFormat="false" ht="19.7" hidden="false" customHeight="false" outlineLevel="0" collapsed="false">
      <c r="A1" s="1" t="s">
        <v>0</v>
      </c>
    </row>
    <row r="2" customFormat="false" ht="57.45" hidden="false" customHeight="false" outlineLevel="0" collapsed="false">
      <c r="A2" s="2" t="s">
        <v>1</v>
      </c>
      <c r="B2" s="2"/>
    </row>
    <row r="3" customFormat="false" ht="15" hidden="false" customHeight="false" outlineLevel="0" collapsed="false">
      <c r="A3" s="2"/>
      <c r="B3" s="2"/>
    </row>
    <row r="4" customFormat="false" ht="15" hidden="false" customHeight="false" outlineLevel="0" collapsed="false">
      <c r="A4" s="3" t="s">
        <v>2</v>
      </c>
      <c r="B4" s="3" t="s">
        <v>3</v>
      </c>
    </row>
    <row r="5" customFormat="false" ht="15" hidden="false" customHeight="false" outlineLevel="0" collapsed="false">
      <c r="A5" s="2" t="s">
        <v>4</v>
      </c>
      <c r="B5" s="2" t="s">
        <v>5</v>
      </c>
    </row>
    <row r="6" customFormat="false" ht="15" hidden="false" customHeight="false" outlineLevel="0" collapsed="false">
      <c r="A6" s="2" t="s">
        <v>6</v>
      </c>
      <c r="B6" s="2" t="s">
        <v>7</v>
      </c>
    </row>
    <row r="7" customFormat="false" ht="15" hidden="false" customHeight="false" outlineLevel="0" collapsed="false">
      <c r="A7" s="2" t="s">
        <v>8</v>
      </c>
      <c r="B7" s="2" t="s">
        <v>9</v>
      </c>
    </row>
    <row r="8" customFormat="false" ht="15" hidden="false" customHeight="false" outlineLevel="0" collapsed="false">
      <c r="A8" s="2" t="s">
        <v>10</v>
      </c>
      <c r="B8" s="2" t="s">
        <v>11</v>
      </c>
    </row>
    <row r="9" customFormat="false" ht="15" hidden="false" customHeight="false" outlineLevel="0" collapsed="false">
      <c r="A9" s="2" t="s">
        <v>12</v>
      </c>
      <c r="B9" s="2" t="s">
        <v>13</v>
      </c>
    </row>
    <row r="10" customFormat="false" ht="15" hidden="false" customHeight="false" outlineLevel="0" collapsed="false">
      <c r="A10" s="2"/>
      <c r="B10" s="2"/>
    </row>
    <row r="11" customFormat="false" ht="15" hidden="false" customHeight="false" outlineLevel="0" collapsed="false">
      <c r="A11" s="2" t="s">
        <v>14</v>
      </c>
      <c r="B11" s="2" t="s">
        <v>15</v>
      </c>
    </row>
    <row r="12" customFormat="false" ht="15" hidden="false" customHeight="false" outlineLevel="0" collapsed="false">
      <c r="A12" s="2" t="s">
        <v>16</v>
      </c>
      <c r="B12" s="2" t="s">
        <v>17</v>
      </c>
    </row>
    <row r="13" customFormat="false" ht="15" hidden="false" customHeight="false" outlineLevel="0" collapsed="false">
      <c r="A13" s="2" t="s">
        <v>18</v>
      </c>
      <c r="B13"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22"/>
    <col collapsed="false" customWidth="true" hidden="false" outlineLevel="0" max="4" min="4" style="0" width="30"/>
    <col collapsed="false" customWidth="true" hidden="false" outlineLevel="0" max="5" min="5" style="0" width="20"/>
    <col collapsed="false" customWidth="true" hidden="false" outlineLevel="0" max="6" min="6" style="0" width="50"/>
    <col collapsed="false" customWidth="true" hidden="false" outlineLevel="0" max="7" min="7" style="0" width="70"/>
    <col collapsed="false" customWidth="true" hidden="false" outlineLevel="0" max="8" min="8" style="0" width="9"/>
    <col collapsed="false" customWidth="true" hidden="false" outlineLevel="0" max="9" min="9" style="0" width="6"/>
    <col collapsed="false" customWidth="true" hidden="false" outlineLevel="0" max="10" min="10" style="0" width="7"/>
    <col collapsed="false" customWidth="true" hidden="false" outlineLevel="0" max="11" min="11" style="0" width="10"/>
    <col collapsed="false" customWidth="true" hidden="false" outlineLevel="0" max="12" min="12" style="0" width="7"/>
    <col collapsed="false" customWidth="true" hidden="false" outlineLevel="0" max="13" min="13" style="0" width="14"/>
    <col collapsed="false" customWidth="true" hidden="false" outlineLevel="0" max="14" min="14" style="0" width="12"/>
    <col collapsed="false" customWidth="true" hidden="false" outlineLevel="0" max="15" min="15" style="0" width="10"/>
    <col collapsed="false" customWidth="true" hidden="false" outlineLevel="0" max="16" min="16" style="0" width="9"/>
    <col collapsed="false" customWidth="true" hidden="false" outlineLevel="0" max="17" min="17" style="0" width="20"/>
  </cols>
  <sheetData>
    <row r="1" customFormat="false" ht="26.85" hidden="false" customHeight="false" outlineLevel="0" collapsed="false">
      <c r="A1" s="4" t="s">
        <v>20</v>
      </c>
      <c r="B1" s="4" t="s">
        <v>21</v>
      </c>
      <c r="C1" s="4" t="s">
        <v>22</v>
      </c>
      <c r="D1" s="4" t="s">
        <v>23</v>
      </c>
      <c r="E1" s="4" t="s">
        <v>24</v>
      </c>
      <c r="F1" s="4" t="s">
        <v>25</v>
      </c>
      <c r="G1" s="4" t="s">
        <v>26</v>
      </c>
      <c r="H1" s="4" t="s">
        <v>27</v>
      </c>
      <c r="I1" s="4" t="s">
        <v>28</v>
      </c>
      <c r="J1" s="4" t="s">
        <v>29</v>
      </c>
      <c r="K1" s="4" t="s">
        <v>30</v>
      </c>
      <c r="L1" s="5" t="s">
        <v>31</v>
      </c>
      <c r="M1" s="4" t="s">
        <v>10</v>
      </c>
      <c r="N1" s="5" t="s">
        <v>32</v>
      </c>
      <c r="O1" s="5" t="s">
        <v>33</v>
      </c>
      <c r="P1" s="5" t="s">
        <v>34</v>
      </c>
      <c r="Q1" s="5" t="s">
        <v>35</v>
      </c>
    </row>
    <row r="2" customFormat="false" ht="35.05" hidden="false" customHeight="false" outlineLevel="0" collapsed="false">
      <c r="A2" s="6" t="s">
        <v>36</v>
      </c>
      <c r="B2" s="6" t="s">
        <v>37</v>
      </c>
      <c r="C2" s="6" t="s">
        <v>38</v>
      </c>
      <c r="D2" s="6" t="s">
        <v>39</v>
      </c>
      <c r="E2" s="6" t="s">
        <v>40</v>
      </c>
      <c r="F2" s="6" t="s">
        <v>41</v>
      </c>
      <c r="G2" s="6" t="s">
        <v>42</v>
      </c>
      <c r="H2" s="6" t="s">
        <v>43</v>
      </c>
      <c r="I2" s="6" t="s">
        <v>44</v>
      </c>
      <c r="J2" s="6" t="n">
        <f aca="false">IFERROR(INDEX(Lists!$B$2:$B$6,MATCH(I2,Lists!$A$2:$A$6,0)),0)</f>
        <v>2</v>
      </c>
      <c r="K2" s="6" t="s">
        <v>45</v>
      </c>
      <c r="L2" s="6" t="s">
        <v>46</v>
      </c>
      <c r="M2" s="6" t="s">
        <v>47</v>
      </c>
      <c r="N2" s="6" t="s">
        <v>48</v>
      </c>
      <c r="O2" s="6" t="s">
        <v>49</v>
      </c>
      <c r="P2" s="6" t="n">
        <v>2</v>
      </c>
      <c r="Q2" s="6"/>
    </row>
    <row r="3" customFormat="false" ht="68.65" hidden="false" customHeight="false" outlineLevel="0" collapsed="false">
      <c r="A3" s="6" t="s">
        <v>50</v>
      </c>
      <c r="B3" s="6" t="s">
        <v>51</v>
      </c>
      <c r="C3" s="6" t="s">
        <v>52</v>
      </c>
      <c r="D3" s="6" t="s">
        <v>53</v>
      </c>
      <c r="E3" s="6" t="s">
        <v>54</v>
      </c>
      <c r="F3" s="6" t="s">
        <v>55</v>
      </c>
      <c r="G3" s="6" t="s">
        <v>56</v>
      </c>
      <c r="H3" s="6" t="s">
        <v>43</v>
      </c>
      <c r="I3" s="6" t="s">
        <v>57</v>
      </c>
      <c r="J3" s="6" t="n">
        <f aca="false">IFERROR(INDEX(Lists!$B$2:$B$6,MATCH(I3,Lists!$A$2:$A$6,0)),0)</f>
        <v>3</v>
      </c>
      <c r="K3" s="6" t="s">
        <v>45</v>
      </c>
      <c r="L3" s="6" t="s">
        <v>46</v>
      </c>
      <c r="M3" s="6"/>
      <c r="N3" s="6" t="s">
        <v>48</v>
      </c>
      <c r="O3" s="6" t="s">
        <v>49</v>
      </c>
      <c r="P3" s="6" t="n">
        <v>1</v>
      </c>
      <c r="Q3" s="6"/>
    </row>
    <row r="4" customFormat="false" ht="35.05" hidden="false" customHeight="false" outlineLevel="0" collapsed="false">
      <c r="A4" s="6" t="s">
        <v>58</v>
      </c>
      <c r="B4" s="6" t="s">
        <v>59</v>
      </c>
      <c r="C4" s="6" t="s">
        <v>60</v>
      </c>
      <c r="D4" s="6" t="s">
        <v>61</v>
      </c>
      <c r="E4" s="6" t="s">
        <v>40</v>
      </c>
      <c r="F4" s="6" t="s">
        <v>62</v>
      </c>
      <c r="G4" s="6" t="s">
        <v>63</v>
      </c>
      <c r="H4" s="6" t="s">
        <v>43</v>
      </c>
      <c r="I4" s="6" t="s">
        <v>44</v>
      </c>
      <c r="J4" s="6" t="n">
        <f aca="false">IFERROR(INDEX(Lists!$B$2:$B$6,MATCH(I4,Lists!$A$2:$A$6,0)),0)</f>
        <v>2</v>
      </c>
      <c r="K4" s="6" t="s">
        <v>45</v>
      </c>
      <c r="L4" s="6" t="s">
        <v>46</v>
      </c>
      <c r="M4" s="6" t="s">
        <v>64</v>
      </c>
      <c r="N4" s="6" t="s">
        <v>48</v>
      </c>
      <c r="O4" s="6" t="s">
        <v>49</v>
      </c>
      <c r="P4" s="6" t="n">
        <v>7</v>
      </c>
      <c r="Q4" s="6"/>
    </row>
    <row r="5" customFormat="false" ht="35.05" hidden="false" customHeight="false" outlineLevel="0" collapsed="false">
      <c r="A5" s="6" t="s">
        <v>65</v>
      </c>
      <c r="B5" s="6" t="s">
        <v>59</v>
      </c>
      <c r="C5" s="6" t="s">
        <v>60</v>
      </c>
      <c r="D5" s="6" t="s">
        <v>66</v>
      </c>
      <c r="E5" s="6" t="s">
        <v>54</v>
      </c>
      <c r="F5" s="6" t="s">
        <v>67</v>
      </c>
      <c r="G5" s="6" t="s">
        <v>68</v>
      </c>
      <c r="H5" s="6" t="s">
        <v>43</v>
      </c>
      <c r="I5" s="6" t="s">
        <v>44</v>
      </c>
      <c r="J5" s="6" t="n">
        <f aca="false">IFERROR(INDEX(Lists!$B$2:$B$6,MATCH(I5,Lists!$A$2:$A$6,0)),0)</f>
        <v>2</v>
      </c>
      <c r="K5" s="6" t="s">
        <v>45</v>
      </c>
      <c r="L5" s="6" t="s">
        <v>46</v>
      </c>
      <c r="M5" s="6"/>
      <c r="N5" s="6" t="s">
        <v>48</v>
      </c>
      <c r="O5" s="6" t="s">
        <v>49</v>
      </c>
      <c r="P5" s="6" t="n">
        <v>8</v>
      </c>
      <c r="Q5" s="6"/>
    </row>
    <row r="6" customFormat="false" ht="35.05" hidden="false" customHeight="false" outlineLevel="0" collapsed="false">
      <c r="A6" s="6" t="s">
        <v>69</v>
      </c>
      <c r="B6" s="6" t="s">
        <v>70</v>
      </c>
      <c r="C6" s="6" t="s">
        <v>71</v>
      </c>
      <c r="D6" s="6" t="s">
        <v>72</v>
      </c>
      <c r="E6" s="6" t="s">
        <v>54</v>
      </c>
      <c r="F6" s="6" t="s">
        <v>73</v>
      </c>
      <c r="G6" s="6" t="s">
        <v>74</v>
      </c>
      <c r="H6" s="6" t="s">
        <v>43</v>
      </c>
      <c r="I6" s="6" t="s">
        <v>57</v>
      </c>
      <c r="J6" s="6" t="n">
        <f aca="false">IFERROR(INDEX(Lists!$B$2:$B$6,MATCH(I6,Lists!$A$2:$A$6,0)),0)</f>
        <v>3</v>
      </c>
      <c r="K6" s="6" t="s">
        <v>45</v>
      </c>
      <c r="L6" s="6" t="s">
        <v>46</v>
      </c>
      <c r="M6" s="6"/>
      <c r="N6" s="6" t="s">
        <v>48</v>
      </c>
      <c r="O6" s="6" t="s">
        <v>49</v>
      </c>
      <c r="P6" s="6" t="n">
        <v>3</v>
      </c>
      <c r="Q6" s="6"/>
    </row>
    <row r="7" customFormat="false" ht="35.05" hidden="false" customHeight="false" outlineLevel="0" collapsed="false">
      <c r="A7" s="6" t="s">
        <v>75</v>
      </c>
      <c r="B7" s="6" t="s">
        <v>70</v>
      </c>
      <c r="C7" s="6" t="s">
        <v>71</v>
      </c>
      <c r="D7" s="6" t="s">
        <v>76</v>
      </c>
      <c r="E7" s="6" t="s">
        <v>54</v>
      </c>
      <c r="F7" s="6" t="s">
        <v>77</v>
      </c>
      <c r="G7" s="6" t="s">
        <v>78</v>
      </c>
      <c r="H7" s="6" t="s">
        <v>43</v>
      </c>
      <c r="I7" s="6" t="s">
        <v>44</v>
      </c>
      <c r="J7" s="6" t="n">
        <f aca="false">IFERROR(INDEX(Lists!$B$2:$B$6,MATCH(I7,Lists!$A$2:$A$6,0)),0)</f>
        <v>2</v>
      </c>
      <c r="K7" s="6" t="s">
        <v>45</v>
      </c>
      <c r="L7" s="6" t="s">
        <v>46</v>
      </c>
      <c r="M7" s="6"/>
      <c r="N7" s="6" t="s">
        <v>48</v>
      </c>
      <c r="O7" s="6" t="s">
        <v>49</v>
      </c>
      <c r="P7" s="6" t="n">
        <v>4</v>
      </c>
      <c r="Q7" s="6"/>
    </row>
    <row r="8" customFormat="false" ht="79.85" hidden="false" customHeight="false" outlineLevel="0" collapsed="false">
      <c r="A8" s="6" t="s">
        <v>79</v>
      </c>
      <c r="B8" s="6" t="s">
        <v>70</v>
      </c>
      <c r="C8" s="6" t="s">
        <v>71</v>
      </c>
      <c r="D8" s="6" t="s">
        <v>80</v>
      </c>
      <c r="E8" s="6" t="s">
        <v>54</v>
      </c>
      <c r="F8" s="6" t="s">
        <v>81</v>
      </c>
      <c r="G8" s="6" t="s">
        <v>82</v>
      </c>
      <c r="H8" s="6" t="s">
        <v>43</v>
      </c>
      <c r="I8" s="6" t="s">
        <v>57</v>
      </c>
      <c r="J8" s="6" t="n">
        <f aca="false">IFERROR(INDEX(Lists!$B$2:$B$6,MATCH(I8,Lists!$A$2:$A$6,0)),0)</f>
        <v>3</v>
      </c>
      <c r="K8" s="6" t="s">
        <v>45</v>
      </c>
      <c r="L8" s="6" t="s">
        <v>46</v>
      </c>
      <c r="M8" s="6"/>
      <c r="N8" s="6" t="s">
        <v>48</v>
      </c>
      <c r="O8" s="6" t="s">
        <v>49</v>
      </c>
      <c r="P8" s="6" t="n">
        <v>5</v>
      </c>
      <c r="Q8" s="6"/>
    </row>
    <row r="9" customFormat="false" ht="68.65" hidden="false" customHeight="false" outlineLevel="0" collapsed="false">
      <c r="A9" s="6" t="s">
        <v>83</v>
      </c>
      <c r="B9" s="6" t="s">
        <v>70</v>
      </c>
      <c r="C9" s="6" t="s">
        <v>71</v>
      </c>
      <c r="D9" s="6" t="s">
        <v>84</v>
      </c>
      <c r="E9" s="6" t="s">
        <v>54</v>
      </c>
      <c r="F9" s="6" t="s">
        <v>85</v>
      </c>
      <c r="G9" s="6" t="s">
        <v>86</v>
      </c>
      <c r="H9" s="6" t="s">
        <v>43</v>
      </c>
      <c r="I9" s="6" t="s">
        <v>44</v>
      </c>
      <c r="J9" s="6" t="n">
        <f aca="false">IFERROR(INDEX(Lists!$B$2:$B$6,MATCH(I9,Lists!$A$2:$A$6,0)),0)</f>
        <v>2</v>
      </c>
      <c r="K9" s="6" t="s">
        <v>45</v>
      </c>
      <c r="L9" s="6" t="s">
        <v>46</v>
      </c>
      <c r="M9" s="6"/>
      <c r="N9" s="6" t="s">
        <v>48</v>
      </c>
      <c r="O9" s="6" t="s">
        <v>49</v>
      </c>
      <c r="P9" s="6" t="n">
        <v>6</v>
      </c>
      <c r="Q9" s="6"/>
    </row>
    <row r="10" customFormat="false" ht="68.65" hidden="false" customHeight="false" outlineLevel="0" collapsed="false">
      <c r="A10" s="6" t="s">
        <v>87</v>
      </c>
      <c r="B10" s="6" t="s">
        <v>88</v>
      </c>
      <c r="C10" s="6" t="s">
        <v>89</v>
      </c>
      <c r="D10" s="6" t="s">
        <v>90</v>
      </c>
      <c r="E10" s="6" t="s">
        <v>54</v>
      </c>
      <c r="F10" s="6" t="s">
        <v>91</v>
      </c>
      <c r="G10" s="6" t="s">
        <v>92</v>
      </c>
      <c r="H10" s="6" t="s">
        <v>43</v>
      </c>
      <c r="I10" s="6" t="s">
        <v>57</v>
      </c>
      <c r="J10" s="6" t="n">
        <f aca="false">IFERROR(INDEX(Lists!$B$2:$B$6,MATCH(I10,Lists!$A$2:$A$6,0)),0)</f>
        <v>3</v>
      </c>
      <c r="K10" s="6" t="s">
        <v>45</v>
      </c>
      <c r="L10" s="6" t="s">
        <v>46</v>
      </c>
      <c r="M10" s="6"/>
      <c r="N10" s="6" t="s">
        <v>48</v>
      </c>
      <c r="O10" s="6" t="s">
        <v>49</v>
      </c>
      <c r="P10" s="6" t="n">
        <v>215</v>
      </c>
      <c r="Q10" s="6"/>
    </row>
    <row r="11" customFormat="false" ht="79.85" hidden="false" customHeight="false" outlineLevel="0" collapsed="false">
      <c r="A11" s="6" t="s">
        <v>93</v>
      </c>
      <c r="B11" s="6" t="s">
        <v>94</v>
      </c>
      <c r="C11" s="6" t="s">
        <v>95</v>
      </c>
      <c r="D11" s="6" t="s">
        <v>96</v>
      </c>
      <c r="E11" s="6" t="s">
        <v>97</v>
      </c>
      <c r="F11" s="6" t="s">
        <v>98</v>
      </c>
      <c r="G11" s="6" t="s">
        <v>99</v>
      </c>
      <c r="H11" s="6" t="s">
        <v>43</v>
      </c>
      <c r="I11" s="6" t="s">
        <v>57</v>
      </c>
      <c r="J11" s="6" t="n">
        <f aca="false">IFERROR(INDEX(Lists!$B$2:$B$6,MATCH(I11,Lists!$A$2:$A$6,0)),0)</f>
        <v>3</v>
      </c>
      <c r="K11" s="6" t="s">
        <v>45</v>
      </c>
      <c r="L11" s="6" t="s">
        <v>100</v>
      </c>
      <c r="M11" s="6" t="s">
        <v>101</v>
      </c>
      <c r="N11" s="6" t="s">
        <v>48</v>
      </c>
      <c r="O11" s="6" t="s">
        <v>49</v>
      </c>
      <c r="P11" s="6" t="n">
        <v>14</v>
      </c>
      <c r="Q11" s="6"/>
    </row>
    <row r="12" customFormat="false" ht="79.85" hidden="false" customHeight="false" outlineLevel="0" collapsed="false">
      <c r="A12" s="6" t="s">
        <v>102</v>
      </c>
      <c r="B12" s="6" t="s">
        <v>94</v>
      </c>
      <c r="C12" s="6" t="s">
        <v>95</v>
      </c>
      <c r="D12" s="6" t="s">
        <v>103</v>
      </c>
      <c r="E12" s="6" t="s">
        <v>97</v>
      </c>
      <c r="F12" s="6" t="s">
        <v>104</v>
      </c>
      <c r="G12" s="6" t="s">
        <v>105</v>
      </c>
      <c r="H12" s="6" t="s">
        <v>43</v>
      </c>
      <c r="I12" s="6" t="s">
        <v>44</v>
      </c>
      <c r="J12" s="6" t="n">
        <f aca="false">IFERROR(INDEX(Lists!$B$2:$B$6,MATCH(I12,Lists!$A$2:$A$6,0)),0)</f>
        <v>2</v>
      </c>
      <c r="K12" s="6" t="s">
        <v>45</v>
      </c>
      <c r="L12" s="6" t="s">
        <v>100</v>
      </c>
      <c r="M12" s="6" t="s">
        <v>101</v>
      </c>
      <c r="N12" s="6" t="s">
        <v>48</v>
      </c>
      <c r="O12" s="6" t="s">
        <v>49</v>
      </c>
      <c r="P12" s="6" t="n">
        <v>15</v>
      </c>
      <c r="Q12" s="6"/>
    </row>
    <row r="13" customFormat="false" ht="46.25" hidden="false" customHeight="false" outlineLevel="0" collapsed="false">
      <c r="A13" s="6" t="s">
        <v>106</v>
      </c>
      <c r="B13" s="6" t="s">
        <v>94</v>
      </c>
      <c r="C13" s="6" t="s">
        <v>95</v>
      </c>
      <c r="D13" s="6" t="s">
        <v>107</v>
      </c>
      <c r="E13" s="6" t="s">
        <v>108</v>
      </c>
      <c r="F13" s="6" t="s">
        <v>109</v>
      </c>
      <c r="G13" s="6" t="s">
        <v>110</v>
      </c>
      <c r="H13" s="6" t="s">
        <v>43</v>
      </c>
      <c r="I13" s="6" t="s">
        <v>44</v>
      </c>
      <c r="J13" s="6" t="n">
        <f aca="false">IFERROR(INDEX(Lists!$B$2:$B$6,MATCH(I13,Lists!$A$2:$A$6,0)),0)</f>
        <v>2</v>
      </c>
      <c r="K13" s="6" t="s">
        <v>45</v>
      </c>
      <c r="L13" s="6" t="s">
        <v>100</v>
      </c>
      <c r="M13" s="6" t="s">
        <v>111</v>
      </c>
      <c r="N13" s="6" t="s">
        <v>48</v>
      </c>
      <c r="O13" s="6" t="s">
        <v>49</v>
      </c>
      <c r="P13" s="6" t="n">
        <v>16</v>
      </c>
      <c r="Q13" s="6"/>
    </row>
    <row r="14" customFormat="false" ht="35.05" hidden="false" customHeight="false" outlineLevel="0" collapsed="false">
      <c r="A14" s="6" t="s">
        <v>112</v>
      </c>
      <c r="B14" s="6" t="s">
        <v>94</v>
      </c>
      <c r="C14" s="6" t="s">
        <v>95</v>
      </c>
      <c r="D14" s="6" t="s">
        <v>113</v>
      </c>
      <c r="E14" s="6" t="s">
        <v>97</v>
      </c>
      <c r="F14" s="6" t="s">
        <v>114</v>
      </c>
      <c r="G14" s="6" t="s">
        <v>115</v>
      </c>
      <c r="H14" s="6" t="s">
        <v>43</v>
      </c>
      <c r="I14" s="6" t="s">
        <v>44</v>
      </c>
      <c r="J14" s="6" t="n">
        <f aca="false">IFERROR(INDEX(Lists!$B$2:$B$6,MATCH(I14,Lists!$A$2:$A$6,0)),0)</f>
        <v>2</v>
      </c>
      <c r="K14" s="6" t="s">
        <v>45</v>
      </c>
      <c r="L14" s="6" t="s">
        <v>100</v>
      </c>
      <c r="M14" s="6" t="s">
        <v>101</v>
      </c>
      <c r="N14" s="6" t="s">
        <v>48</v>
      </c>
      <c r="O14" s="6" t="s">
        <v>49</v>
      </c>
      <c r="P14" s="6" t="n">
        <v>17</v>
      </c>
      <c r="Q14" s="6"/>
    </row>
    <row r="15" customFormat="false" ht="35.05" hidden="false" customHeight="false" outlineLevel="0" collapsed="false">
      <c r="A15" s="6" t="s">
        <v>116</v>
      </c>
      <c r="B15" s="6" t="s">
        <v>94</v>
      </c>
      <c r="C15" s="6" t="s">
        <v>95</v>
      </c>
      <c r="D15" s="6" t="s">
        <v>117</v>
      </c>
      <c r="E15" s="6" t="s">
        <v>118</v>
      </c>
      <c r="F15" s="6" t="s">
        <v>119</v>
      </c>
      <c r="G15" s="6" t="s">
        <v>120</v>
      </c>
      <c r="H15" s="6" t="s">
        <v>43</v>
      </c>
      <c r="I15" s="6" t="s">
        <v>44</v>
      </c>
      <c r="J15" s="6" t="n">
        <f aca="false">IFERROR(INDEX(Lists!$B$2:$B$6,MATCH(I15,Lists!$A$2:$A$6,0)),0)</f>
        <v>2</v>
      </c>
      <c r="K15" s="6" t="s">
        <v>45</v>
      </c>
      <c r="L15" s="6" t="s">
        <v>100</v>
      </c>
      <c r="M15" s="6" t="s">
        <v>101</v>
      </c>
      <c r="N15" s="6" t="s">
        <v>48</v>
      </c>
      <c r="O15" s="6" t="s">
        <v>49</v>
      </c>
      <c r="P15" s="6" t="n">
        <v>18</v>
      </c>
      <c r="Q15" s="6"/>
    </row>
    <row r="16" customFormat="false" ht="79.85" hidden="false" customHeight="false" outlineLevel="0" collapsed="false">
      <c r="A16" s="6" t="s">
        <v>121</v>
      </c>
      <c r="B16" s="6" t="s">
        <v>94</v>
      </c>
      <c r="C16" s="6" t="s">
        <v>95</v>
      </c>
      <c r="D16" s="6" t="s">
        <v>122</v>
      </c>
      <c r="E16" s="6" t="s">
        <v>108</v>
      </c>
      <c r="F16" s="6" t="s">
        <v>123</v>
      </c>
      <c r="G16" s="6" t="s">
        <v>124</v>
      </c>
      <c r="H16" s="6" t="s">
        <v>43</v>
      </c>
      <c r="I16" s="6" t="s">
        <v>44</v>
      </c>
      <c r="J16" s="6" t="n">
        <f aca="false">IFERROR(INDEX(Lists!$B$2:$B$6,MATCH(I16,Lists!$A$2:$A$6,0)),0)</f>
        <v>2</v>
      </c>
      <c r="K16" s="6" t="s">
        <v>45</v>
      </c>
      <c r="L16" s="6" t="s">
        <v>100</v>
      </c>
      <c r="M16" s="6" t="s">
        <v>125</v>
      </c>
      <c r="N16" s="6" t="s">
        <v>48</v>
      </c>
      <c r="O16" s="6" t="s">
        <v>49</v>
      </c>
      <c r="P16" s="6" t="n">
        <v>19</v>
      </c>
      <c r="Q16" s="6"/>
    </row>
    <row r="17" customFormat="false" ht="35.05" hidden="false" customHeight="false" outlineLevel="0" collapsed="false">
      <c r="A17" s="6" t="s">
        <v>126</v>
      </c>
      <c r="B17" s="6" t="s">
        <v>94</v>
      </c>
      <c r="C17" s="6" t="s">
        <v>95</v>
      </c>
      <c r="D17" s="6" t="s">
        <v>127</v>
      </c>
      <c r="E17" s="6" t="s">
        <v>97</v>
      </c>
      <c r="F17" s="6" t="s">
        <v>128</v>
      </c>
      <c r="G17" s="6" t="s">
        <v>129</v>
      </c>
      <c r="H17" s="6" t="s">
        <v>43</v>
      </c>
      <c r="I17" s="6" t="s">
        <v>44</v>
      </c>
      <c r="J17" s="6" t="n">
        <f aca="false">IFERROR(INDEX(Lists!$B$2:$B$6,MATCH(I17,Lists!$A$2:$A$6,0)),0)</f>
        <v>2</v>
      </c>
      <c r="K17" s="6" t="s">
        <v>45</v>
      </c>
      <c r="L17" s="6" t="s">
        <v>100</v>
      </c>
      <c r="M17" s="6" t="s">
        <v>101</v>
      </c>
      <c r="N17" s="6" t="s">
        <v>48</v>
      </c>
      <c r="O17" s="6" t="s">
        <v>49</v>
      </c>
      <c r="P17" s="6" t="n">
        <v>20</v>
      </c>
      <c r="Q17" s="6"/>
    </row>
    <row r="18" customFormat="false" ht="68.65" hidden="false" customHeight="false" outlineLevel="0" collapsed="false">
      <c r="A18" s="6" t="s">
        <v>130</v>
      </c>
      <c r="B18" s="6" t="s">
        <v>131</v>
      </c>
      <c r="C18" s="6" t="s">
        <v>132</v>
      </c>
      <c r="D18" s="6" t="s">
        <v>133</v>
      </c>
      <c r="E18" s="6" t="s">
        <v>118</v>
      </c>
      <c r="F18" s="6" t="s">
        <v>134</v>
      </c>
      <c r="G18" s="6" t="s">
        <v>135</v>
      </c>
      <c r="H18" s="6" t="s">
        <v>43</v>
      </c>
      <c r="I18" s="6" t="s">
        <v>57</v>
      </c>
      <c r="J18" s="6" t="n">
        <f aca="false">IFERROR(INDEX(Lists!$B$2:$B$6,MATCH(I18,Lists!$A$2:$A$6,0)),0)</f>
        <v>3</v>
      </c>
      <c r="K18" s="6" t="s">
        <v>45</v>
      </c>
      <c r="L18" s="6" t="s">
        <v>100</v>
      </c>
      <c r="M18" s="6"/>
      <c r="N18" s="6" t="s">
        <v>48</v>
      </c>
      <c r="O18" s="6" t="s">
        <v>49</v>
      </c>
      <c r="P18" s="6" t="n">
        <v>9</v>
      </c>
      <c r="Q18" s="6"/>
    </row>
    <row r="19" customFormat="false" ht="46.25" hidden="false" customHeight="false" outlineLevel="0" collapsed="false">
      <c r="A19" s="6" t="s">
        <v>136</v>
      </c>
      <c r="B19" s="6" t="s">
        <v>131</v>
      </c>
      <c r="C19" s="6" t="s">
        <v>132</v>
      </c>
      <c r="D19" s="6" t="s">
        <v>137</v>
      </c>
      <c r="E19" s="6" t="s">
        <v>54</v>
      </c>
      <c r="F19" s="6" t="s">
        <v>138</v>
      </c>
      <c r="G19" s="6" t="s">
        <v>139</v>
      </c>
      <c r="H19" s="6" t="s">
        <v>43</v>
      </c>
      <c r="I19" s="6" t="s">
        <v>44</v>
      </c>
      <c r="J19" s="6" t="n">
        <f aca="false">IFERROR(INDEX(Lists!$B$2:$B$6,MATCH(I19,Lists!$A$2:$A$6,0)),0)</f>
        <v>2</v>
      </c>
      <c r="K19" s="6" t="s">
        <v>45</v>
      </c>
      <c r="L19" s="6" t="s">
        <v>100</v>
      </c>
      <c r="M19" s="6"/>
      <c r="N19" s="6" t="s">
        <v>48</v>
      </c>
      <c r="O19" s="6" t="s">
        <v>49</v>
      </c>
      <c r="P19" s="6" t="n">
        <v>10</v>
      </c>
      <c r="Q19" s="6"/>
    </row>
    <row r="20" customFormat="false" ht="46.25" hidden="false" customHeight="false" outlineLevel="0" collapsed="false">
      <c r="A20" s="6" t="s">
        <v>140</v>
      </c>
      <c r="B20" s="6" t="s">
        <v>131</v>
      </c>
      <c r="C20" s="6" t="s">
        <v>132</v>
      </c>
      <c r="D20" s="6" t="s">
        <v>141</v>
      </c>
      <c r="E20" s="6" t="s">
        <v>108</v>
      </c>
      <c r="F20" s="6" t="s">
        <v>142</v>
      </c>
      <c r="G20" s="6" t="s">
        <v>143</v>
      </c>
      <c r="H20" s="6" t="s">
        <v>43</v>
      </c>
      <c r="I20" s="6" t="s">
        <v>57</v>
      </c>
      <c r="J20" s="6" t="n">
        <f aca="false">IFERROR(INDEX(Lists!$B$2:$B$6,MATCH(I20,Lists!$A$2:$A$6,0)),0)</f>
        <v>3</v>
      </c>
      <c r="K20" s="6" t="s">
        <v>45</v>
      </c>
      <c r="L20" s="6" t="s">
        <v>100</v>
      </c>
      <c r="M20" s="6" t="s">
        <v>144</v>
      </c>
      <c r="N20" s="6" t="s">
        <v>48</v>
      </c>
      <c r="O20" s="6" t="s">
        <v>49</v>
      </c>
      <c r="P20" s="6" t="n">
        <v>11</v>
      </c>
      <c r="Q20" s="6"/>
    </row>
    <row r="21" customFormat="false" ht="102.2" hidden="false" customHeight="false" outlineLevel="0" collapsed="false">
      <c r="A21" s="6" t="s">
        <v>145</v>
      </c>
      <c r="B21" s="6" t="s">
        <v>146</v>
      </c>
      <c r="C21" s="6" t="s">
        <v>147</v>
      </c>
      <c r="D21" s="6" t="s">
        <v>148</v>
      </c>
      <c r="E21" s="6" t="s">
        <v>108</v>
      </c>
      <c r="F21" s="6" t="s">
        <v>149</v>
      </c>
      <c r="G21" s="6" t="s">
        <v>150</v>
      </c>
      <c r="H21" s="6" t="s">
        <v>43</v>
      </c>
      <c r="I21" s="6" t="s">
        <v>44</v>
      </c>
      <c r="J21" s="6" t="n">
        <f aca="false">IFERROR(INDEX(Lists!$B$2:$B$6,MATCH(I21,Lists!$A$2:$A$6,0)),0)</f>
        <v>2</v>
      </c>
      <c r="K21" s="6" t="s">
        <v>45</v>
      </c>
      <c r="L21" s="6" t="s">
        <v>100</v>
      </c>
      <c r="M21" s="6" t="s">
        <v>125</v>
      </c>
      <c r="N21" s="6" t="s">
        <v>48</v>
      </c>
      <c r="O21" s="6" t="s">
        <v>49</v>
      </c>
      <c r="P21" s="6" t="n">
        <v>21</v>
      </c>
      <c r="Q21" s="6"/>
    </row>
    <row r="22" customFormat="false" ht="46.25" hidden="false" customHeight="false" outlineLevel="0" collapsed="false">
      <c r="A22" s="6" t="s">
        <v>151</v>
      </c>
      <c r="B22" s="6" t="s">
        <v>51</v>
      </c>
      <c r="C22" s="6" t="s">
        <v>52</v>
      </c>
      <c r="D22" s="6" t="s">
        <v>152</v>
      </c>
      <c r="E22" s="6" t="s">
        <v>54</v>
      </c>
      <c r="F22" s="6" t="s">
        <v>153</v>
      </c>
      <c r="G22" s="6" t="s">
        <v>154</v>
      </c>
      <c r="H22" s="6" t="s">
        <v>43</v>
      </c>
      <c r="I22" s="6" t="s">
        <v>57</v>
      </c>
      <c r="J22" s="6" t="n">
        <f aca="false">IFERROR(INDEX(Lists!$B$2:$B$6,MATCH(I22,Lists!$A$2:$A$6,0)),0)</f>
        <v>3</v>
      </c>
      <c r="K22" s="6" t="s">
        <v>45</v>
      </c>
      <c r="L22" s="6" t="s">
        <v>100</v>
      </c>
      <c r="M22" s="6"/>
      <c r="N22" s="6" t="s">
        <v>48</v>
      </c>
      <c r="O22" s="6" t="s">
        <v>49</v>
      </c>
      <c r="P22" s="6" t="n">
        <v>12</v>
      </c>
      <c r="Q22" s="6"/>
    </row>
    <row r="23" customFormat="false" ht="79.85" hidden="false" customHeight="false" outlineLevel="0" collapsed="false">
      <c r="A23" s="6" t="s">
        <v>155</v>
      </c>
      <c r="B23" s="6" t="s">
        <v>51</v>
      </c>
      <c r="C23" s="6" t="s">
        <v>52</v>
      </c>
      <c r="D23" s="6" t="s">
        <v>156</v>
      </c>
      <c r="E23" s="6" t="s">
        <v>54</v>
      </c>
      <c r="F23" s="6" t="s">
        <v>157</v>
      </c>
      <c r="G23" s="6" t="s">
        <v>158</v>
      </c>
      <c r="H23" s="6" t="s">
        <v>43</v>
      </c>
      <c r="I23" s="6" t="s">
        <v>57</v>
      </c>
      <c r="J23" s="6" t="n">
        <f aca="false">IFERROR(INDEX(Lists!$B$2:$B$6,MATCH(I23,Lists!$A$2:$A$6,0)),0)</f>
        <v>3</v>
      </c>
      <c r="K23" s="6" t="s">
        <v>45</v>
      </c>
      <c r="L23" s="6" t="s">
        <v>100</v>
      </c>
      <c r="M23" s="6"/>
      <c r="N23" s="6" t="s">
        <v>48</v>
      </c>
      <c r="O23" s="6" t="s">
        <v>49</v>
      </c>
      <c r="P23" s="6" t="n">
        <v>13</v>
      </c>
      <c r="Q23" s="6"/>
    </row>
    <row r="24" customFormat="false" ht="79.85" hidden="false" customHeight="false" outlineLevel="0" collapsed="false">
      <c r="A24" s="6" t="s">
        <v>159</v>
      </c>
      <c r="B24" s="6" t="s">
        <v>160</v>
      </c>
      <c r="C24" s="6" t="s">
        <v>161</v>
      </c>
      <c r="D24" s="6" t="s">
        <v>162</v>
      </c>
      <c r="E24" s="6" t="s">
        <v>40</v>
      </c>
      <c r="F24" s="6" t="s">
        <v>163</v>
      </c>
      <c r="G24" s="6" t="s">
        <v>164</v>
      </c>
      <c r="H24" s="6" t="s">
        <v>43</v>
      </c>
      <c r="I24" s="6" t="s">
        <v>44</v>
      </c>
      <c r="J24" s="6" t="n">
        <f aca="false">IFERROR(INDEX(Lists!$B$2:$B$6,MATCH(I24,Lists!$A$2:$A$6,0)),0)</f>
        <v>2</v>
      </c>
      <c r="K24" s="6" t="s">
        <v>45</v>
      </c>
      <c r="L24" s="6" t="s">
        <v>165</v>
      </c>
      <c r="M24" s="6" t="s">
        <v>166</v>
      </c>
      <c r="N24" s="6" t="s">
        <v>48</v>
      </c>
      <c r="O24" s="6" t="s">
        <v>49</v>
      </c>
      <c r="P24" s="6" t="n">
        <v>29</v>
      </c>
      <c r="Q24" s="6"/>
    </row>
    <row r="25" customFormat="false" ht="113.4" hidden="false" customHeight="false" outlineLevel="0" collapsed="false">
      <c r="A25" s="6" t="s">
        <v>167</v>
      </c>
      <c r="B25" s="6" t="s">
        <v>160</v>
      </c>
      <c r="C25" s="6" t="s">
        <v>161</v>
      </c>
      <c r="D25" s="6" t="s">
        <v>168</v>
      </c>
      <c r="E25" s="6" t="s">
        <v>40</v>
      </c>
      <c r="F25" s="6" t="s">
        <v>169</v>
      </c>
      <c r="G25" s="6" t="s">
        <v>170</v>
      </c>
      <c r="H25" s="6" t="s">
        <v>43</v>
      </c>
      <c r="I25" s="6" t="s">
        <v>57</v>
      </c>
      <c r="J25" s="6" t="n">
        <f aca="false">IFERROR(INDEX(Lists!$B$2:$B$6,MATCH(I25,Lists!$A$2:$A$6,0)),0)</f>
        <v>3</v>
      </c>
      <c r="K25" s="6" t="s">
        <v>45</v>
      </c>
      <c r="L25" s="6" t="s">
        <v>165</v>
      </c>
      <c r="M25" s="6" t="s">
        <v>171</v>
      </c>
      <c r="N25" s="6" t="s">
        <v>48</v>
      </c>
      <c r="O25" s="6" t="s">
        <v>49</v>
      </c>
      <c r="P25" s="6" t="n">
        <v>30</v>
      </c>
      <c r="Q25" s="6"/>
    </row>
    <row r="26" customFormat="false" ht="113.4" hidden="false" customHeight="false" outlineLevel="0" collapsed="false">
      <c r="A26" s="6" t="s">
        <v>172</v>
      </c>
      <c r="B26" s="6" t="s">
        <v>160</v>
      </c>
      <c r="C26" s="6" t="s">
        <v>161</v>
      </c>
      <c r="D26" s="6" t="s">
        <v>173</v>
      </c>
      <c r="E26" s="6" t="s">
        <v>40</v>
      </c>
      <c r="F26" s="6" t="s">
        <v>174</v>
      </c>
      <c r="G26" s="6" t="s">
        <v>175</v>
      </c>
      <c r="H26" s="6" t="s">
        <v>43</v>
      </c>
      <c r="I26" s="6" t="s">
        <v>57</v>
      </c>
      <c r="J26" s="6" t="n">
        <f aca="false">IFERROR(INDEX(Lists!$B$2:$B$6,MATCH(I26,Lists!$A$2:$A$6,0)),0)</f>
        <v>3</v>
      </c>
      <c r="K26" s="6" t="s">
        <v>45</v>
      </c>
      <c r="L26" s="6" t="s">
        <v>165</v>
      </c>
      <c r="M26" s="6" t="s">
        <v>176</v>
      </c>
      <c r="N26" s="6" t="s">
        <v>48</v>
      </c>
      <c r="O26" s="6" t="s">
        <v>49</v>
      </c>
      <c r="P26" s="6" t="n">
        <v>31</v>
      </c>
      <c r="Q26" s="6"/>
    </row>
    <row r="27" customFormat="false" ht="113.4" hidden="false" customHeight="false" outlineLevel="0" collapsed="false">
      <c r="A27" s="6" t="s">
        <v>177</v>
      </c>
      <c r="B27" s="6" t="s">
        <v>160</v>
      </c>
      <c r="C27" s="6" t="s">
        <v>161</v>
      </c>
      <c r="D27" s="6" t="s">
        <v>178</v>
      </c>
      <c r="E27" s="6" t="s">
        <v>40</v>
      </c>
      <c r="F27" s="6" t="s">
        <v>179</v>
      </c>
      <c r="G27" s="6" t="s">
        <v>180</v>
      </c>
      <c r="H27" s="6" t="s">
        <v>43</v>
      </c>
      <c r="I27" s="6" t="s">
        <v>57</v>
      </c>
      <c r="J27" s="6" t="n">
        <f aca="false">IFERROR(INDEX(Lists!$B$2:$B$6,MATCH(I27,Lists!$A$2:$A$6,0)),0)</f>
        <v>3</v>
      </c>
      <c r="K27" s="6" t="s">
        <v>45</v>
      </c>
      <c r="L27" s="6" t="s">
        <v>165</v>
      </c>
      <c r="M27" s="6" t="s">
        <v>64</v>
      </c>
      <c r="N27" s="6" t="s">
        <v>48</v>
      </c>
      <c r="O27" s="6" t="s">
        <v>49</v>
      </c>
      <c r="P27" s="6" t="n">
        <v>32</v>
      </c>
      <c r="Q27" s="6"/>
    </row>
    <row r="28" customFormat="false" ht="79.85" hidden="false" customHeight="false" outlineLevel="0" collapsed="false">
      <c r="A28" s="6" t="s">
        <v>181</v>
      </c>
      <c r="B28" s="6" t="s">
        <v>160</v>
      </c>
      <c r="C28" s="6" t="s">
        <v>161</v>
      </c>
      <c r="D28" s="6" t="s">
        <v>182</v>
      </c>
      <c r="E28" s="6" t="s">
        <v>40</v>
      </c>
      <c r="F28" s="6" t="s">
        <v>183</v>
      </c>
      <c r="G28" s="6" t="s">
        <v>184</v>
      </c>
      <c r="H28" s="6" t="s">
        <v>43</v>
      </c>
      <c r="I28" s="6" t="s">
        <v>185</v>
      </c>
      <c r="J28" s="6" t="n">
        <f aca="false">IFERROR(INDEX(Lists!$B$2:$B$6,MATCH(I28,Lists!$A$2:$A$6,0)),0)</f>
        <v>1</v>
      </c>
      <c r="K28" s="6" t="s">
        <v>45</v>
      </c>
      <c r="L28" s="6" t="s">
        <v>165</v>
      </c>
      <c r="M28" s="6" t="s">
        <v>186</v>
      </c>
      <c r="N28" s="6" t="s">
        <v>48</v>
      </c>
      <c r="O28" s="6" t="s">
        <v>49</v>
      </c>
      <c r="P28" s="6" t="n">
        <v>33</v>
      </c>
      <c r="Q28" s="6"/>
    </row>
    <row r="29" customFormat="false" ht="68.65" hidden="false" customHeight="false" outlineLevel="0" collapsed="false">
      <c r="A29" s="6" t="s">
        <v>187</v>
      </c>
      <c r="B29" s="6" t="s">
        <v>160</v>
      </c>
      <c r="C29" s="6" t="s">
        <v>161</v>
      </c>
      <c r="D29" s="6" t="s">
        <v>188</v>
      </c>
      <c r="E29" s="6" t="s">
        <v>40</v>
      </c>
      <c r="F29" s="6" t="s">
        <v>189</v>
      </c>
      <c r="G29" s="6" t="s">
        <v>190</v>
      </c>
      <c r="H29" s="6" t="s">
        <v>43</v>
      </c>
      <c r="I29" s="6" t="s">
        <v>44</v>
      </c>
      <c r="J29" s="6" t="n">
        <f aca="false">IFERROR(INDEX(Lists!$B$2:$B$6,MATCH(I29,Lists!$A$2:$A$6,0)),0)</f>
        <v>2</v>
      </c>
      <c r="K29" s="6" t="s">
        <v>45</v>
      </c>
      <c r="L29" s="6" t="s">
        <v>165</v>
      </c>
      <c r="M29" s="6" t="s">
        <v>191</v>
      </c>
      <c r="N29" s="6" t="s">
        <v>48</v>
      </c>
      <c r="O29" s="6" t="s">
        <v>49</v>
      </c>
      <c r="P29" s="6" t="n">
        <v>34</v>
      </c>
      <c r="Q29" s="6"/>
    </row>
    <row r="30" customFormat="false" ht="79.85" hidden="false" customHeight="false" outlineLevel="0" collapsed="false">
      <c r="A30" s="6" t="s">
        <v>192</v>
      </c>
      <c r="B30" s="6" t="s">
        <v>193</v>
      </c>
      <c r="C30" s="6" t="s">
        <v>194</v>
      </c>
      <c r="D30" s="6" t="s">
        <v>195</v>
      </c>
      <c r="E30" s="6" t="s">
        <v>108</v>
      </c>
      <c r="F30" s="6" t="s">
        <v>196</v>
      </c>
      <c r="G30" s="6" t="s">
        <v>197</v>
      </c>
      <c r="H30" s="6" t="s">
        <v>43</v>
      </c>
      <c r="I30" s="6" t="s">
        <v>44</v>
      </c>
      <c r="J30" s="6" t="n">
        <f aca="false">IFERROR(INDEX(Lists!$B$2:$B$6,MATCH(I30,Lists!$A$2:$A$6,0)),0)</f>
        <v>2</v>
      </c>
      <c r="K30" s="6" t="s">
        <v>45</v>
      </c>
      <c r="L30" s="6" t="s">
        <v>165</v>
      </c>
      <c r="M30" s="6" t="s">
        <v>47</v>
      </c>
      <c r="N30" s="6" t="s">
        <v>48</v>
      </c>
      <c r="O30" s="6" t="s">
        <v>49</v>
      </c>
      <c r="P30" s="6" t="n">
        <v>22</v>
      </c>
      <c r="Q30" s="6"/>
    </row>
    <row r="31" customFormat="false" ht="35.05" hidden="false" customHeight="false" outlineLevel="0" collapsed="false">
      <c r="A31" s="6" t="s">
        <v>198</v>
      </c>
      <c r="B31" s="6" t="s">
        <v>193</v>
      </c>
      <c r="C31" s="6" t="s">
        <v>194</v>
      </c>
      <c r="D31" s="6" t="s">
        <v>199</v>
      </c>
      <c r="E31" s="6" t="s">
        <v>40</v>
      </c>
      <c r="F31" s="6" t="s">
        <v>200</v>
      </c>
      <c r="G31" s="6" t="s">
        <v>201</v>
      </c>
      <c r="H31" s="6" t="s">
        <v>43</v>
      </c>
      <c r="I31" s="6" t="s">
        <v>185</v>
      </c>
      <c r="J31" s="6" t="n">
        <f aca="false">IFERROR(INDEX(Lists!$B$2:$B$6,MATCH(I31,Lists!$A$2:$A$6,0)),0)</f>
        <v>1</v>
      </c>
      <c r="K31" s="6" t="s">
        <v>45</v>
      </c>
      <c r="L31" s="6" t="s">
        <v>165</v>
      </c>
      <c r="M31" s="6" t="s">
        <v>202</v>
      </c>
      <c r="N31" s="6" t="s">
        <v>48</v>
      </c>
      <c r="O31" s="6" t="s">
        <v>49</v>
      </c>
      <c r="P31" s="6" t="n">
        <v>23</v>
      </c>
      <c r="Q31" s="6"/>
    </row>
    <row r="32" customFormat="false" ht="79.85" hidden="false" customHeight="false" outlineLevel="0" collapsed="false">
      <c r="A32" s="6" t="s">
        <v>203</v>
      </c>
      <c r="B32" s="6" t="s">
        <v>204</v>
      </c>
      <c r="C32" s="6" t="s">
        <v>205</v>
      </c>
      <c r="D32" s="6" t="s">
        <v>206</v>
      </c>
      <c r="E32" s="6" t="s">
        <v>97</v>
      </c>
      <c r="F32" s="6" t="s">
        <v>207</v>
      </c>
      <c r="G32" s="6" t="s">
        <v>208</v>
      </c>
      <c r="H32" s="6" t="s">
        <v>43</v>
      </c>
      <c r="I32" s="6" t="s">
        <v>57</v>
      </c>
      <c r="J32" s="6" t="n">
        <f aca="false">IFERROR(INDEX(Lists!$B$2:$B$6,MATCH(I32,Lists!$A$2:$A$6,0)),0)</f>
        <v>3</v>
      </c>
      <c r="K32" s="6" t="s">
        <v>45</v>
      </c>
      <c r="L32" s="6" t="s">
        <v>165</v>
      </c>
      <c r="M32" s="6" t="s">
        <v>209</v>
      </c>
      <c r="N32" s="6" t="s">
        <v>48</v>
      </c>
      <c r="O32" s="6" t="s">
        <v>49</v>
      </c>
      <c r="P32" s="6" t="n">
        <v>24</v>
      </c>
      <c r="Q32" s="6"/>
    </row>
    <row r="33" customFormat="false" ht="79.85" hidden="false" customHeight="false" outlineLevel="0" collapsed="false">
      <c r="A33" s="6" t="s">
        <v>210</v>
      </c>
      <c r="B33" s="6" t="s">
        <v>204</v>
      </c>
      <c r="C33" s="6" t="s">
        <v>205</v>
      </c>
      <c r="D33" s="6" t="s">
        <v>211</v>
      </c>
      <c r="E33" s="6" t="s">
        <v>108</v>
      </c>
      <c r="F33" s="6" t="s">
        <v>212</v>
      </c>
      <c r="G33" s="6" t="s">
        <v>213</v>
      </c>
      <c r="H33" s="6" t="s">
        <v>43</v>
      </c>
      <c r="I33" s="6" t="s">
        <v>214</v>
      </c>
      <c r="J33" s="6" t="n">
        <f aca="false">IFERROR(INDEX(Lists!$B$2:$B$6,MATCH(I33,Lists!$A$2:$A$6,0)),0)</f>
        <v>5</v>
      </c>
      <c r="K33" s="6" t="s">
        <v>45</v>
      </c>
      <c r="L33" s="6" t="s">
        <v>165</v>
      </c>
      <c r="M33" s="6" t="s">
        <v>215</v>
      </c>
      <c r="N33" s="6" t="s">
        <v>48</v>
      </c>
      <c r="O33" s="6" t="s">
        <v>49</v>
      </c>
      <c r="P33" s="6" t="n">
        <v>25</v>
      </c>
      <c r="Q33" s="6"/>
    </row>
    <row r="34" customFormat="false" ht="46.25" hidden="false" customHeight="false" outlineLevel="0" collapsed="false">
      <c r="A34" s="6" t="s">
        <v>216</v>
      </c>
      <c r="B34" s="6" t="s">
        <v>204</v>
      </c>
      <c r="C34" s="6" t="s">
        <v>205</v>
      </c>
      <c r="D34" s="6" t="s">
        <v>217</v>
      </c>
      <c r="E34" s="6" t="s">
        <v>97</v>
      </c>
      <c r="F34" s="6" t="s">
        <v>218</v>
      </c>
      <c r="G34" s="6" t="s">
        <v>219</v>
      </c>
      <c r="H34" s="6" t="s">
        <v>220</v>
      </c>
      <c r="I34" s="6" t="s">
        <v>44</v>
      </c>
      <c r="J34" s="6" t="n">
        <f aca="false">IFERROR(INDEX(Lists!$B$2:$B$6,MATCH(I34,Lists!$A$2:$A$6,0)),0)</f>
        <v>2</v>
      </c>
      <c r="K34" s="6" t="s">
        <v>45</v>
      </c>
      <c r="L34" s="6" t="s">
        <v>165</v>
      </c>
      <c r="M34" s="6" t="s">
        <v>221</v>
      </c>
      <c r="N34" s="6" t="s">
        <v>48</v>
      </c>
      <c r="O34" s="6" t="s">
        <v>49</v>
      </c>
      <c r="P34" s="6" t="n">
        <v>216</v>
      </c>
      <c r="Q34" s="6"/>
    </row>
    <row r="35" customFormat="false" ht="79.85" hidden="false" customHeight="false" outlineLevel="0" collapsed="false">
      <c r="A35" s="6" t="s">
        <v>222</v>
      </c>
      <c r="B35" s="6" t="s">
        <v>223</v>
      </c>
      <c r="C35" s="6" t="s">
        <v>224</v>
      </c>
      <c r="D35" s="6" t="s">
        <v>225</v>
      </c>
      <c r="E35" s="6" t="s">
        <v>40</v>
      </c>
      <c r="F35" s="6" t="s">
        <v>226</v>
      </c>
      <c r="G35" s="6" t="s">
        <v>227</v>
      </c>
      <c r="H35" s="6" t="s">
        <v>43</v>
      </c>
      <c r="I35" s="6" t="s">
        <v>44</v>
      </c>
      <c r="J35" s="6" t="n">
        <f aca="false">IFERROR(INDEX(Lists!$B$2:$B$6,MATCH(I35,Lists!$A$2:$A$6,0)),0)</f>
        <v>2</v>
      </c>
      <c r="K35" s="6" t="s">
        <v>45</v>
      </c>
      <c r="L35" s="6" t="s">
        <v>165</v>
      </c>
      <c r="M35" s="6" t="s">
        <v>228</v>
      </c>
      <c r="N35" s="6" t="s">
        <v>48</v>
      </c>
      <c r="O35" s="6" t="s">
        <v>49</v>
      </c>
      <c r="P35" s="6" t="n">
        <v>35</v>
      </c>
      <c r="Q35" s="6"/>
    </row>
    <row r="36" customFormat="false" ht="68.65" hidden="false" customHeight="false" outlineLevel="0" collapsed="false">
      <c r="A36" s="6" t="s">
        <v>229</v>
      </c>
      <c r="B36" s="6" t="s">
        <v>37</v>
      </c>
      <c r="C36" s="6" t="s">
        <v>38</v>
      </c>
      <c r="D36" s="6" t="s">
        <v>230</v>
      </c>
      <c r="E36" s="6" t="s">
        <v>108</v>
      </c>
      <c r="F36" s="6" t="s">
        <v>231</v>
      </c>
      <c r="G36" s="6" t="s">
        <v>232</v>
      </c>
      <c r="H36" s="6" t="s">
        <v>43</v>
      </c>
      <c r="I36" s="6" t="s">
        <v>214</v>
      </c>
      <c r="J36" s="6" t="n">
        <f aca="false">IFERROR(INDEX(Lists!$B$2:$B$6,MATCH(I36,Lists!$A$2:$A$6,0)),0)</f>
        <v>5</v>
      </c>
      <c r="K36" s="6" t="s">
        <v>45</v>
      </c>
      <c r="L36" s="6" t="s">
        <v>165</v>
      </c>
      <c r="M36" s="6" t="s">
        <v>221</v>
      </c>
      <c r="N36" s="6" t="s">
        <v>48</v>
      </c>
      <c r="O36" s="6" t="s">
        <v>49</v>
      </c>
      <c r="P36" s="6" t="n">
        <v>26</v>
      </c>
      <c r="Q36" s="6"/>
    </row>
    <row r="37" customFormat="false" ht="35.05" hidden="false" customHeight="false" outlineLevel="0" collapsed="false">
      <c r="A37" s="6" t="s">
        <v>233</v>
      </c>
      <c r="B37" s="6" t="s">
        <v>37</v>
      </c>
      <c r="C37" s="6" t="s">
        <v>38</v>
      </c>
      <c r="D37" s="6" t="s">
        <v>234</v>
      </c>
      <c r="E37" s="6" t="s">
        <v>40</v>
      </c>
      <c r="F37" s="6" t="s">
        <v>235</v>
      </c>
      <c r="G37" s="6" t="s">
        <v>236</v>
      </c>
      <c r="H37" s="6" t="s">
        <v>43</v>
      </c>
      <c r="I37" s="6" t="s">
        <v>57</v>
      </c>
      <c r="J37" s="6" t="n">
        <f aca="false">IFERROR(INDEX(Lists!$B$2:$B$6,MATCH(I37,Lists!$A$2:$A$6,0)),0)</f>
        <v>3</v>
      </c>
      <c r="K37" s="6" t="s">
        <v>45</v>
      </c>
      <c r="L37" s="6" t="s">
        <v>165</v>
      </c>
      <c r="M37" s="6" t="s">
        <v>237</v>
      </c>
      <c r="N37" s="6" t="s">
        <v>48</v>
      </c>
      <c r="O37" s="6" t="s">
        <v>49</v>
      </c>
      <c r="P37" s="6" t="n">
        <v>27</v>
      </c>
      <c r="Q37" s="6"/>
    </row>
    <row r="38" customFormat="false" ht="35.05" hidden="false" customHeight="false" outlineLevel="0" collapsed="false">
      <c r="A38" s="6" t="s">
        <v>238</v>
      </c>
      <c r="B38" s="6" t="s">
        <v>37</v>
      </c>
      <c r="C38" s="6" t="s">
        <v>38</v>
      </c>
      <c r="D38" s="6" t="s">
        <v>239</v>
      </c>
      <c r="E38" s="6" t="s">
        <v>54</v>
      </c>
      <c r="F38" s="6" t="s">
        <v>240</v>
      </c>
      <c r="G38" s="6" t="s">
        <v>241</v>
      </c>
      <c r="H38" s="6" t="s">
        <v>43</v>
      </c>
      <c r="I38" s="6" t="s">
        <v>44</v>
      </c>
      <c r="J38" s="6" t="n">
        <f aca="false">IFERROR(INDEX(Lists!$B$2:$B$6,MATCH(I38,Lists!$A$2:$A$6,0)),0)</f>
        <v>2</v>
      </c>
      <c r="K38" s="6" t="s">
        <v>45</v>
      </c>
      <c r="L38" s="6" t="s">
        <v>165</v>
      </c>
      <c r="M38" s="6"/>
      <c r="N38" s="6" t="s">
        <v>48</v>
      </c>
      <c r="O38" s="6" t="s">
        <v>49</v>
      </c>
      <c r="P38" s="6" t="n">
        <v>28</v>
      </c>
      <c r="Q38" s="6"/>
    </row>
    <row r="39" customFormat="false" ht="102.2" hidden="false" customHeight="false" outlineLevel="0" collapsed="false">
      <c r="A39" s="6" t="s">
        <v>242</v>
      </c>
      <c r="B39" s="6" t="s">
        <v>243</v>
      </c>
      <c r="C39" s="6" t="s">
        <v>244</v>
      </c>
      <c r="D39" s="6" t="s">
        <v>245</v>
      </c>
      <c r="E39" s="6" t="s">
        <v>97</v>
      </c>
      <c r="F39" s="6" t="s">
        <v>246</v>
      </c>
      <c r="G39" s="6" t="s">
        <v>247</v>
      </c>
      <c r="H39" s="6" t="s">
        <v>43</v>
      </c>
      <c r="I39" s="6" t="s">
        <v>44</v>
      </c>
      <c r="J39" s="6" t="n">
        <f aca="false">IFERROR(INDEX(Lists!$B$2:$B$6,MATCH(I39,Lists!$A$2:$A$6,0)),0)</f>
        <v>2</v>
      </c>
      <c r="K39" s="6" t="s">
        <v>45</v>
      </c>
      <c r="L39" s="6" t="s">
        <v>248</v>
      </c>
      <c r="M39" s="6" t="s">
        <v>249</v>
      </c>
      <c r="N39" s="6" t="s">
        <v>48</v>
      </c>
      <c r="O39" s="6" t="s">
        <v>49</v>
      </c>
      <c r="P39" s="6" t="n">
        <v>36</v>
      </c>
      <c r="Q39" s="6"/>
    </row>
    <row r="40" customFormat="false" ht="46.25" hidden="false" customHeight="false" outlineLevel="0" collapsed="false">
      <c r="A40" s="6" t="s">
        <v>250</v>
      </c>
      <c r="B40" s="6" t="s">
        <v>243</v>
      </c>
      <c r="C40" s="6" t="s">
        <v>244</v>
      </c>
      <c r="D40" s="6" t="s">
        <v>251</v>
      </c>
      <c r="E40" s="6" t="s">
        <v>97</v>
      </c>
      <c r="F40" s="6" t="s">
        <v>252</v>
      </c>
      <c r="G40" s="6" t="s">
        <v>253</v>
      </c>
      <c r="H40" s="6" t="s">
        <v>43</v>
      </c>
      <c r="I40" s="6" t="s">
        <v>44</v>
      </c>
      <c r="J40" s="6" t="n">
        <f aca="false">IFERROR(INDEX(Lists!$B$2:$B$6,MATCH(I40,Lists!$A$2:$A$6,0)),0)</f>
        <v>2</v>
      </c>
      <c r="K40" s="6" t="s">
        <v>45</v>
      </c>
      <c r="L40" s="6" t="s">
        <v>248</v>
      </c>
      <c r="M40" s="6" t="s">
        <v>209</v>
      </c>
      <c r="N40" s="6" t="s">
        <v>48</v>
      </c>
      <c r="O40" s="6" t="s">
        <v>49</v>
      </c>
      <c r="P40" s="6" t="n">
        <v>37</v>
      </c>
      <c r="Q40" s="6"/>
    </row>
    <row r="41" customFormat="false" ht="46.25" hidden="false" customHeight="false" outlineLevel="0" collapsed="false">
      <c r="A41" s="6" t="s">
        <v>254</v>
      </c>
      <c r="B41" s="6" t="s">
        <v>243</v>
      </c>
      <c r="C41" s="6" t="s">
        <v>244</v>
      </c>
      <c r="D41" s="6" t="s">
        <v>255</v>
      </c>
      <c r="E41" s="6" t="s">
        <v>97</v>
      </c>
      <c r="F41" s="6" t="s">
        <v>256</v>
      </c>
      <c r="G41" s="6" t="s">
        <v>257</v>
      </c>
      <c r="H41" s="6" t="s">
        <v>43</v>
      </c>
      <c r="I41" s="6" t="s">
        <v>44</v>
      </c>
      <c r="J41" s="6" t="n">
        <f aca="false">IFERROR(INDEX(Lists!$B$2:$B$6,MATCH(I41,Lists!$A$2:$A$6,0)),0)</f>
        <v>2</v>
      </c>
      <c r="K41" s="6" t="s">
        <v>45</v>
      </c>
      <c r="L41" s="6" t="s">
        <v>248</v>
      </c>
      <c r="M41" s="6" t="s">
        <v>101</v>
      </c>
      <c r="N41" s="6" t="s">
        <v>48</v>
      </c>
      <c r="O41" s="6" t="s">
        <v>49</v>
      </c>
      <c r="P41" s="6" t="n">
        <v>38</v>
      </c>
      <c r="Q41" s="6"/>
    </row>
    <row r="42" customFormat="false" ht="113.4" hidden="false" customHeight="false" outlineLevel="0" collapsed="false">
      <c r="A42" s="6" t="s">
        <v>258</v>
      </c>
      <c r="B42" s="6" t="s">
        <v>243</v>
      </c>
      <c r="C42" s="6" t="s">
        <v>244</v>
      </c>
      <c r="D42" s="6" t="s">
        <v>259</v>
      </c>
      <c r="E42" s="6" t="s">
        <v>97</v>
      </c>
      <c r="F42" s="6" t="s">
        <v>260</v>
      </c>
      <c r="G42" s="6" t="s">
        <v>261</v>
      </c>
      <c r="H42" s="6" t="s">
        <v>43</v>
      </c>
      <c r="I42" s="6" t="s">
        <v>57</v>
      </c>
      <c r="J42" s="6" t="n">
        <f aca="false">IFERROR(INDEX(Lists!$B$2:$B$6,MATCH(I42,Lists!$A$2:$A$6,0)),0)</f>
        <v>3</v>
      </c>
      <c r="K42" s="6" t="s">
        <v>45</v>
      </c>
      <c r="L42" s="6" t="s">
        <v>248</v>
      </c>
      <c r="M42" s="6" t="s">
        <v>262</v>
      </c>
      <c r="N42" s="6" t="s">
        <v>48</v>
      </c>
      <c r="O42" s="6" t="s">
        <v>49</v>
      </c>
      <c r="P42" s="6" t="n">
        <v>39</v>
      </c>
      <c r="Q42" s="6"/>
    </row>
    <row r="43" customFormat="false" ht="79.85" hidden="false" customHeight="false" outlineLevel="0" collapsed="false">
      <c r="A43" s="6" t="s">
        <v>263</v>
      </c>
      <c r="B43" s="6" t="s">
        <v>243</v>
      </c>
      <c r="C43" s="6" t="s">
        <v>244</v>
      </c>
      <c r="D43" s="6" t="s">
        <v>264</v>
      </c>
      <c r="E43" s="6" t="s">
        <v>118</v>
      </c>
      <c r="F43" s="6" t="s">
        <v>265</v>
      </c>
      <c r="G43" s="6" t="s">
        <v>266</v>
      </c>
      <c r="H43" s="6" t="s">
        <v>43</v>
      </c>
      <c r="I43" s="6" t="s">
        <v>44</v>
      </c>
      <c r="J43" s="6" t="n">
        <f aca="false">IFERROR(INDEX(Lists!$B$2:$B$6,MATCH(I43,Lists!$A$2:$A$6,0)),0)</f>
        <v>2</v>
      </c>
      <c r="K43" s="6" t="s">
        <v>45</v>
      </c>
      <c r="L43" s="6" t="s">
        <v>248</v>
      </c>
      <c r="M43" s="6" t="s">
        <v>267</v>
      </c>
      <c r="N43" s="6" t="s">
        <v>48</v>
      </c>
      <c r="O43" s="6" t="s">
        <v>49</v>
      </c>
      <c r="P43" s="6" t="n">
        <v>40</v>
      </c>
      <c r="Q43" s="6"/>
    </row>
    <row r="44" customFormat="false" ht="68.65" hidden="false" customHeight="false" outlineLevel="0" collapsed="false">
      <c r="A44" s="6" t="s">
        <v>268</v>
      </c>
      <c r="B44" s="6" t="s">
        <v>243</v>
      </c>
      <c r="C44" s="6" t="s">
        <v>244</v>
      </c>
      <c r="D44" s="6" t="s">
        <v>269</v>
      </c>
      <c r="E44" s="6" t="s">
        <v>54</v>
      </c>
      <c r="F44" s="6" t="s">
        <v>270</v>
      </c>
      <c r="G44" s="6" t="s">
        <v>271</v>
      </c>
      <c r="H44" s="6" t="s">
        <v>43</v>
      </c>
      <c r="I44" s="6" t="s">
        <v>44</v>
      </c>
      <c r="J44" s="6" t="n">
        <f aca="false">IFERROR(INDEX(Lists!$B$2:$B$6,MATCH(I44,Lists!$A$2:$A$6,0)),0)</f>
        <v>2</v>
      </c>
      <c r="K44" s="6" t="s">
        <v>45</v>
      </c>
      <c r="L44" s="6" t="s">
        <v>248</v>
      </c>
      <c r="M44" s="6"/>
      <c r="N44" s="6" t="s">
        <v>48</v>
      </c>
      <c r="O44" s="6" t="s">
        <v>49</v>
      </c>
      <c r="P44" s="6" t="n">
        <v>41</v>
      </c>
      <c r="Q44" s="6"/>
    </row>
    <row r="45" customFormat="false" ht="68.65" hidden="false" customHeight="false" outlineLevel="0" collapsed="false">
      <c r="A45" s="6" t="s">
        <v>272</v>
      </c>
      <c r="B45" s="6" t="s">
        <v>204</v>
      </c>
      <c r="C45" s="6" t="s">
        <v>205</v>
      </c>
      <c r="D45" s="6" t="s">
        <v>273</v>
      </c>
      <c r="E45" s="6" t="s">
        <v>108</v>
      </c>
      <c r="F45" s="6" t="s">
        <v>274</v>
      </c>
      <c r="G45" s="6" t="s">
        <v>275</v>
      </c>
      <c r="H45" s="6" t="s">
        <v>43</v>
      </c>
      <c r="I45" s="6" t="s">
        <v>44</v>
      </c>
      <c r="J45" s="6" t="n">
        <f aca="false">IFERROR(INDEX(Lists!$B$2:$B$6,MATCH(I45,Lists!$A$2:$A$6,0)),0)</f>
        <v>2</v>
      </c>
      <c r="K45" s="6" t="s">
        <v>45</v>
      </c>
      <c r="L45" s="6" t="s">
        <v>248</v>
      </c>
      <c r="M45" s="6" t="s">
        <v>276</v>
      </c>
      <c r="N45" s="6" t="s">
        <v>48</v>
      </c>
      <c r="O45" s="6" t="s">
        <v>49</v>
      </c>
      <c r="P45" s="6" t="n">
        <v>48</v>
      </c>
      <c r="Q45" s="6"/>
    </row>
    <row r="46" customFormat="false" ht="35.05" hidden="false" customHeight="false" outlineLevel="0" collapsed="false">
      <c r="A46" s="6" t="s">
        <v>277</v>
      </c>
      <c r="B46" s="6" t="s">
        <v>94</v>
      </c>
      <c r="C46" s="6" t="s">
        <v>95</v>
      </c>
      <c r="D46" s="6" t="s">
        <v>278</v>
      </c>
      <c r="E46" s="6" t="s">
        <v>108</v>
      </c>
      <c r="F46" s="6" t="s">
        <v>279</v>
      </c>
      <c r="G46" s="6" t="s">
        <v>280</v>
      </c>
      <c r="H46" s="6" t="s">
        <v>43</v>
      </c>
      <c r="I46" s="6" t="s">
        <v>44</v>
      </c>
      <c r="J46" s="6" t="n">
        <f aca="false">IFERROR(INDEX(Lists!$B$2:$B$6,MATCH(I46,Lists!$A$2:$A$6,0)),0)</f>
        <v>2</v>
      </c>
      <c r="K46" s="6" t="s">
        <v>45</v>
      </c>
      <c r="L46" s="6" t="s">
        <v>248</v>
      </c>
      <c r="M46" s="6" t="s">
        <v>101</v>
      </c>
      <c r="N46" s="6" t="s">
        <v>48</v>
      </c>
      <c r="O46" s="6" t="s">
        <v>49</v>
      </c>
      <c r="P46" s="6" t="n">
        <v>42</v>
      </c>
      <c r="Q46" s="6"/>
    </row>
    <row r="47" customFormat="false" ht="35.05" hidden="false" customHeight="false" outlineLevel="0" collapsed="false">
      <c r="A47" s="6" t="s">
        <v>281</v>
      </c>
      <c r="B47" s="6" t="s">
        <v>94</v>
      </c>
      <c r="C47" s="6" t="s">
        <v>95</v>
      </c>
      <c r="D47" s="6" t="s">
        <v>282</v>
      </c>
      <c r="E47" s="6" t="s">
        <v>108</v>
      </c>
      <c r="F47" s="6" t="s">
        <v>283</v>
      </c>
      <c r="G47" s="6" t="s">
        <v>284</v>
      </c>
      <c r="H47" s="6" t="s">
        <v>43</v>
      </c>
      <c r="I47" s="6" t="s">
        <v>44</v>
      </c>
      <c r="J47" s="6" t="n">
        <f aca="false">IFERROR(INDEX(Lists!$B$2:$B$6,MATCH(I47,Lists!$A$2:$A$6,0)),0)</f>
        <v>2</v>
      </c>
      <c r="K47" s="6" t="s">
        <v>45</v>
      </c>
      <c r="L47" s="6" t="s">
        <v>248</v>
      </c>
      <c r="M47" s="6" t="s">
        <v>111</v>
      </c>
      <c r="N47" s="6" t="s">
        <v>48</v>
      </c>
      <c r="O47" s="6" t="s">
        <v>49</v>
      </c>
      <c r="P47" s="6" t="n">
        <v>43</v>
      </c>
      <c r="Q47" s="6"/>
    </row>
    <row r="48" customFormat="false" ht="35.05" hidden="false" customHeight="false" outlineLevel="0" collapsed="false">
      <c r="A48" s="6" t="s">
        <v>285</v>
      </c>
      <c r="B48" s="6" t="s">
        <v>94</v>
      </c>
      <c r="C48" s="6" t="s">
        <v>95</v>
      </c>
      <c r="D48" s="6" t="s">
        <v>286</v>
      </c>
      <c r="E48" s="6" t="s">
        <v>108</v>
      </c>
      <c r="F48" s="6" t="s">
        <v>287</v>
      </c>
      <c r="G48" s="6" t="s">
        <v>288</v>
      </c>
      <c r="H48" s="6" t="s">
        <v>43</v>
      </c>
      <c r="I48" s="6" t="s">
        <v>57</v>
      </c>
      <c r="J48" s="6" t="n">
        <f aca="false">IFERROR(INDEX(Lists!$B$2:$B$6,MATCH(I48,Lists!$A$2:$A$6,0)),0)</f>
        <v>3</v>
      </c>
      <c r="K48" s="6" t="s">
        <v>45</v>
      </c>
      <c r="L48" s="6" t="s">
        <v>248</v>
      </c>
      <c r="M48" s="6" t="s">
        <v>289</v>
      </c>
      <c r="N48" s="6" t="s">
        <v>48</v>
      </c>
      <c r="O48" s="6" t="s">
        <v>49</v>
      </c>
      <c r="P48" s="6" t="n">
        <v>44</v>
      </c>
      <c r="Q48" s="6"/>
    </row>
    <row r="49" customFormat="false" ht="35.05" hidden="false" customHeight="false" outlineLevel="0" collapsed="false">
      <c r="A49" s="6" t="s">
        <v>290</v>
      </c>
      <c r="B49" s="6" t="s">
        <v>94</v>
      </c>
      <c r="C49" s="6" t="s">
        <v>95</v>
      </c>
      <c r="D49" s="6" t="s">
        <v>291</v>
      </c>
      <c r="E49" s="6" t="s">
        <v>118</v>
      </c>
      <c r="F49" s="6" t="s">
        <v>292</v>
      </c>
      <c r="G49" s="6" t="s">
        <v>293</v>
      </c>
      <c r="H49" s="6" t="s">
        <v>43</v>
      </c>
      <c r="I49" s="6" t="s">
        <v>44</v>
      </c>
      <c r="J49" s="6" t="n">
        <f aca="false">IFERROR(INDEX(Lists!$B$2:$B$6,MATCH(I49,Lists!$A$2:$A$6,0)),0)</f>
        <v>2</v>
      </c>
      <c r="K49" s="6" t="s">
        <v>45</v>
      </c>
      <c r="L49" s="6" t="s">
        <v>248</v>
      </c>
      <c r="M49" s="6" t="s">
        <v>101</v>
      </c>
      <c r="N49" s="6" t="s">
        <v>48</v>
      </c>
      <c r="O49" s="6" t="s">
        <v>49</v>
      </c>
      <c r="P49" s="6" t="n">
        <v>45</v>
      </c>
      <c r="Q49" s="6"/>
    </row>
    <row r="50" customFormat="false" ht="35.05" hidden="false" customHeight="false" outlineLevel="0" collapsed="false">
      <c r="A50" s="6" t="s">
        <v>294</v>
      </c>
      <c r="B50" s="6" t="s">
        <v>94</v>
      </c>
      <c r="C50" s="6" t="s">
        <v>95</v>
      </c>
      <c r="D50" s="6" t="s">
        <v>295</v>
      </c>
      <c r="E50" s="6" t="s">
        <v>108</v>
      </c>
      <c r="F50" s="6" t="s">
        <v>296</v>
      </c>
      <c r="G50" s="6" t="s">
        <v>297</v>
      </c>
      <c r="H50" s="6" t="s">
        <v>43</v>
      </c>
      <c r="I50" s="6" t="s">
        <v>44</v>
      </c>
      <c r="J50" s="6" t="n">
        <f aca="false">IFERROR(INDEX(Lists!$B$2:$B$6,MATCH(I50,Lists!$A$2:$A$6,0)),0)</f>
        <v>2</v>
      </c>
      <c r="K50" s="6" t="s">
        <v>45</v>
      </c>
      <c r="L50" s="6" t="s">
        <v>248</v>
      </c>
      <c r="M50" s="6" t="s">
        <v>111</v>
      </c>
      <c r="N50" s="6" t="s">
        <v>48</v>
      </c>
      <c r="O50" s="6" t="s">
        <v>49</v>
      </c>
      <c r="P50" s="6" t="n">
        <v>46</v>
      </c>
      <c r="Q50" s="6"/>
    </row>
    <row r="51" customFormat="false" ht="35.05" hidden="false" customHeight="false" outlineLevel="0" collapsed="false">
      <c r="A51" s="6" t="s">
        <v>298</v>
      </c>
      <c r="B51" s="6" t="s">
        <v>94</v>
      </c>
      <c r="C51" s="6" t="s">
        <v>95</v>
      </c>
      <c r="D51" s="6" t="s">
        <v>299</v>
      </c>
      <c r="E51" s="6" t="s">
        <v>108</v>
      </c>
      <c r="F51" s="6" t="s">
        <v>300</v>
      </c>
      <c r="G51" s="6" t="s">
        <v>301</v>
      </c>
      <c r="H51" s="6" t="s">
        <v>43</v>
      </c>
      <c r="I51" s="6" t="s">
        <v>57</v>
      </c>
      <c r="J51" s="6" t="n">
        <f aca="false">IFERROR(INDEX(Lists!$B$2:$B$6,MATCH(I51,Lists!$A$2:$A$6,0)),0)</f>
        <v>3</v>
      </c>
      <c r="K51" s="6" t="s">
        <v>45</v>
      </c>
      <c r="L51" s="6" t="s">
        <v>248</v>
      </c>
      <c r="M51" s="6" t="s">
        <v>302</v>
      </c>
      <c r="N51" s="6" t="s">
        <v>48</v>
      </c>
      <c r="O51" s="6" t="s">
        <v>49</v>
      </c>
      <c r="P51" s="6" t="n">
        <v>47</v>
      </c>
      <c r="Q51" s="6"/>
    </row>
    <row r="52" customFormat="false" ht="35.05" hidden="false" customHeight="false" outlineLevel="0" collapsed="false">
      <c r="A52" s="6" t="s">
        <v>303</v>
      </c>
      <c r="B52" s="6" t="s">
        <v>243</v>
      </c>
      <c r="C52" s="6" t="s">
        <v>244</v>
      </c>
      <c r="D52" s="6" t="s">
        <v>304</v>
      </c>
      <c r="E52" s="6" t="s">
        <v>108</v>
      </c>
      <c r="F52" s="6" t="s">
        <v>305</v>
      </c>
      <c r="G52" s="6" t="s">
        <v>306</v>
      </c>
      <c r="H52" s="6" t="s">
        <v>220</v>
      </c>
      <c r="I52" s="6" t="s">
        <v>185</v>
      </c>
      <c r="J52" s="6" t="n">
        <f aca="false">IFERROR(INDEX(Lists!$B$2:$B$6,MATCH(I52,Lists!$A$2:$A$6,0)),0)</f>
        <v>1</v>
      </c>
      <c r="K52" s="6" t="s">
        <v>45</v>
      </c>
      <c r="L52" s="6" t="s">
        <v>307</v>
      </c>
      <c r="M52" s="6" t="s">
        <v>125</v>
      </c>
      <c r="N52" s="6" t="s">
        <v>48</v>
      </c>
      <c r="O52" s="6" t="s">
        <v>49</v>
      </c>
      <c r="P52" s="6" t="n">
        <v>52</v>
      </c>
      <c r="Q52" s="6"/>
    </row>
    <row r="53" customFormat="false" ht="68.65" hidden="false" customHeight="false" outlineLevel="0" collapsed="false">
      <c r="A53" s="6" t="s">
        <v>308</v>
      </c>
      <c r="B53" s="6" t="s">
        <v>243</v>
      </c>
      <c r="C53" s="6" t="s">
        <v>244</v>
      </c>
      <c r="D53" s="6" t="s">
        <v>309</v>
      </c>
      <c r="E53" s="6" t="s">
        <v>108</v>
      </c>
      <c r="F53" s="6" t="s">
        <v>310</v>
      </c>
      <c r="G53" s="6" t="s">
        <v>311</v>
      </c>
      <c r="H53" s="6" t="s">
        <v>43</v>
      </c>
      <c r="I53" s="6" t="s">
        <v>44</v>
      </c>
      <c r="J53" s="6" t="n">
        <f aca="false">IFERROR(INDEX(Lists!$B$2:$B$6,MATCH(I53,Lists!$A$2:$A$6,0)),0)</f>
        <v>2</v>
      </c>
      <c r="K53" s="6" t="s">
        <v>45</v>
      </c>
      <c r="L53" s="6" t="s">
        <v>307</v>
      </c>
      <c r="M53" s="6" t="s">
        <v>312</v>
      </c>
      <c r="N53" s="6" t="s">
        <v>48</v>
      </c>
      <c r="O53" s="6" t="s">
        <v>49</v>
      </c>
      <c r="P53" s="6" t="n">
        <v>53</v>
      </c>
      <c r="Q53" s="6"/>
    </row>
    <row r="54" customFormat="false" ht="35.05" hidden="false" customHeight="false" outlineLevel="0" collapsed="false">
      <c r="A54" s="6" t="s">
        <v>313</v>
      </c>
      <c r="B54" s="6" t="s">
        <v>204</v>
      </c>
      <c r="C54" s="6" t="s">
        <v>205</v>
      </c>
      <c r="D54" s="6" t="s">
        <v>314</v>
      </c>
      <c r="E54" s="6" t="s">
        <v>108</v>
      </c>
      <c r="F54" s="6" t="s">
        <v>315</v>
      </c>
      <c r="G54" s="6" t="s">
        <v>316</v>
      </c>
      <c r="H54" s="6" t="s">
        <v>43</v>
      </c>
      <c r="I54" s="6" t="s">
        <v>44</v>
      </c>
      <c r="J54" s="6" t="n">
        <f aca="false">IFERROR(INDEX(Lists!$B$2:$B$6,MATCH(I54,Lists!$A$2:$A$6,0)),0)</f>
        <v>2</v>
      </c>
      <c r="K54" s="6" t="s">
        <v>45</v>
      </c>
      <c r="L54" s="6" t="s">
        <v>307</v>
      </c>
      <c r="M54" s="6" t="s">
        <v>144</v>
      </c>
      <c r="N54" s="6" t="s">
        <v>48</v>
      </c>
      <c r="O54" s="6" t="s">
        <v>49</v>
      </c>
      <c r="P54" s="6" t="n">
        <v>58</v>
      </c>
      <c r="Q54" s="6"/>
    </row>
    <row r="55" customFormat="false" ht="102.2" hidden="false" customHeight="false" outlineLevel="0" collapsed="false">
      <c r="A55" s="6" t="s">
        <v>317</v>
      </c>
      <c r="B55" s="6" t="s">
        <v>318</v>
      </c>
      <c r="C55" s="6" t="s">
        <v>319</v>
      </c>
      <c r="D55" s="6" t="s">
        <v>320</v>
      </c>
      <c r="E55" s="6" t="s">
        <v>97</v>
      </c>
      <c r="F55" s="6" t="s">
        <v>321</v>
      </c>
      <c r="G55" s="6" t="s">
        <v>322</v>
      </c>
      <c r="H55" s="6" t="s">
        <v>43</v>
      </c>
      <c r="I55" s="6" t="s">
        <v>57</v>
      </c>
      <c r="J55" s="6" t="n">
        <f aca="false">IFERROR(INDEX(Lists!$B$2:$B$6,MATCH(I55,Lists!$A$2:$A$6,0)),0)</f>
        <v>3</v>
      </c>
      <c r="K55" s="6" t="s">
        <v>45</v>
      </c>
      <c r="L55" s="6" t="s">
        <v>307</v>
      </c>
      <c r="M55" s="6" t="s">
        <v>323</v>
      </c>
      <c r="N55" s="6" t="s">
        <v>48</v>
      </c>
      <c r="O55" s="6" t="s">
        <v>49</v>
      </c>
      <c r="P55" s="6" t="n">
        <v>54</v>
      </c>
      <c r="Q55" s="6"/>
    </row>
    <row r="56" customFormat="false" ht="79.85" hidden="false" customHeight="false" outlineLevel="0" collapsed="false">
      <c r="A56" s="6" t="s">
        <v>324</v>
      </c>
      <c r="B56" s="6" t="s">
        <v>318</v>
      </c>
      <c r="C56" s="6" t="s">
        <v>319</v>
      </c>
      <c r="D56" s="6" t="s">
        <v>325</v>
      </c>
      <c r="E56" s="6" t="s">
        <v>108</v>
      </c>
      <c r="F56" s="6" t="s">
        <v>326</v>
      </c>
      <c r="G56" s="6" t="s">
        <v>327</v>
      </c>
      <c r="H56" s="6" t="s">
        <v>43</v>
      </c>
      <c r="I56" s="6" t="s">
        <v>57</v>
      </c>
      <c r="J56" s="6" t="n">
        <f aca="false">IFERROR(INDEX(Lists!$B$2:$B$6,MATCH(I56,Lists!$A$2:$A$6,0)),0)</f>
        <v>3</v>
      </c>
      <c r="K56" s="6" t="s">
        <v>45</v>
      </c>
      <c r="L56" s="6" t="s">
        <v>307</v>
      </c>
      <c r="M56" s="6" t="s">
        <v>328</v>
      </c>
      <c r="N56" s="6" t="s">
        <v>48</v>
      </c>
      <c r="O56" s="6" t="s">
        <v>49</v>
      </c>
      <c r="P56" s="6" t="n">
        <v>55</v>
      </c>
      <c r="Q56" s="6"/>
    </row>
    <row r="57" customFormat="false" ht="79.85" hidden="false" customHeight="false" outlineLevel="0" collapsed="false">
      <c r="A57" s="6" t="s">
        <v>329</v>
      </c>
      <c r="B57" s="6" t="s">
        <v>318</v>
      </c>
      <c r="C57" s="6" t="s">
        <v>319</v>
      </c>
      <c r="D57" s="6" t="s">
        <v>330</v>
      </c>
      <c r="E57" s="6" t="s">
        <v>118</v>
      </c>
      <c r="F57" s="6" t="s">
        <v>331</v>
      </c>
      <c r="G57" s="6" t="s">
        <v>332</v>
      </c>
      <c r="H57" s="6" t="s">
        <v>43</v>
      </c>
      <c r="I57" s="6" t="s">
        <v>44</v>
      </c>
      <c r="J57" s="6" t="n">
        <f aca="false">IFERROR(INDEX(Lists!$B$2:$B$6,MATCH(I57,Lists!$A$2:$A$6,0)),0)</f>
        <v>2</v>
      </c>
      <c r="K57" s="6" t="s">
        <v>45</v>
      </c>
      <c r="L57" s="6" t="s">
        <v>307</v>
      </c>
      <c r="M57" s="6" t="s">
        <v>333</v>
      </c>
      <c r="N57" s="6" t="s">
        <v>48</v>
      </c>
      <c r="O57" s="6" t="s">
        <v>49</v>
      </c>
      <c r="P57" s="6" t="n">
        <v>56</v>
      </c>
      <c r="Q57" s="6"/>
    </row>
    <row r="58" customFormat="false" ht="35.05" hidden="false" customHeight="false" outlineLevel="0" collapsed="false">
      <c r="A58" s="6" t="s">
        <v>334</v>
      </c>
      <c r="B58" s="6" t="s">
        <v>318</v>
      </c>
      <c r="C58" s="6" t="s">
        <v>319</v>
      </c>
      <c r="D58" s="6" t="s">
        <v>335</v>
      </c>
      <c r="E58" s="6" t="s">
        <v>54</v>
      </c>
      <c r="F58" s="6" t="s">
        <v>336</v>
      </c>
      <c r="G58" s="6" t="s">
        <v>337</v>
      </c>
      <c r="H58" s="6" t="s">
        <v>43</v>
      </c>
      <c r="I58" s="6" t="s">
        <v>44</v>
      </c>
      <c r="J58" s="6" t="n">
        <f aca="false">IFERROR(INDEX(Lists!$B$2:$B$6,MATCH(I58,Lists!$A$2:$A$6,0)),0)</f>
        <v>2</v>
      </c>
      <c r="K58" s="6" t="s">
        <v>45</v>
      </c>
      <c r="L58" s="6" t="s">
        <v>307</v>
      </c>
      <c r="M58" s="6"/>
      <c r="N58" s="6" t="s">
        <v>48</v>
      </c>
      <c r="O58" s="6" t="s">
        <v>49</v>
      </c>
      <c r="P58" s="6" t="n">
        <v>57</v>
      </c>
      <c r="Q58" s="6"/>
    </row>
    <row r="59" customFormat="false" ht="35.05" hidden="false" customHeight="false" outlineLevel="0" collapsed="false">
      <c r="A59" s="6" t="s">
        <v>338</v>
      </c>
      <c r="B59" s="6" t="s">
        <v>146</v>
      </c>
      <c r="C59" s="6" t="s">
        <v>147</v>
      </c>
      <c r="D59" s="6" t="s">
        <v>339</v>
      </c>
      <c r="E59" s="6" t="s">
        <v>108</v>
      </c>
      <c r="F59" s="6" t="s">
        <v>340</v>
      </c>
      <c r="G59" s="6" t="s">
        <v>341</v>
      </c>
      <c r="H59" s="6" t="s">
        <v>43</v>
      </c>
      <c r="I59" s="6" t="s">
        <v>185</v>
      </c>
      <c r="J59" s="6" t="n">
        <f aca="false">IFERROR(INDEX(Lists!$B$2:$B$6,MATCH(I59,Lists!$A$2:$A$6,0)),0)</f>
        <v>1</v>
      </c>
      <c r="K59" s="6" t="s">
        <v>45</v>
      </c>
      <c r="L59" s="6" t="s">
        <v>307</v>
      </c>
      <c r="M59" s="6" t="s">
        <v>342</v>
      </c>
      <c r="N59" s="6" t="s">
        <v>48</v>
      </c>
      <c r="O59" s="6" t="s">
        <v>49</v>
      </c>
      <c r="P59" s="6" t="n">
        <v>59</v>
      </c>
      <c r="Q59" s="6"/>
    </row>
    <row r="60" customFormat="false" ht="79.85" hidden="false" customHeight="false" outlineLevel="0" collapsed="false">
      <c r="A60" s="6" t="s">
        <v>343</v>
      </c>
      <c r="B60" s="6" t="s">
        <v>146</v>
      </c>
      <c r="C60" s="6" t="s">
        <v>147</v>
      </c>
      <c r="D60" s="6" t="s">
        <v>344</v>
      </c>
      <c r="E60" s="6" t="s">
        <v>108</v>
      </c>
      <c r="F60" s="6" t="s">
        <v>345</v>
      </c>
      <c r="G60" s="6" t="s">
        <v>346</v>
      </c>
      <c r="H60" s="6" t="s">
        <v>43</v>
      </c>
      <c r="I60" s="6" t="s">
        <v>57</v>
      </c>
      <c r="J60" s="6" t="n">
        <f aca="false">IFERROR(INDEX(Lists!$B$2:$B$6,MATCH(I60,Lists!$A$2:$A$6,0)),0)</f>
        <v>3</v>
      </c>
      <c r="K60" s="6" t="s">
        <v>45</v>
      </c>
      <c r="L60" s="6" t="s">
        <v>307</v>
      </c>
      <c r="M60" s="6" t="s">
        <v>125</v>
      </c>
      <c r="N60" s="6" t="s">
        <v>48</v>
      </c>
      <c r="O60" s="6" t="s">
        <v>49</v>
      </c>
      <c r="P60" s="6" t="n">
        <v>60</v>
      </c>
      <c r="Q60" s="6"/>
    </row>
    <row r="61" customFormat="false" ht="79.85" hidden="false" customHeight="false" outlineLevel="0" collapsed="false">
      <c r="A61" s="6" t="s">
        <v>347</v>
      </c>
      <c r="B61" s="6" t="s">
        <v>146</v>
      </c>
      <c r="C61" s="6" t="s">
        <v>147</v>
      </c>
      <c r="D61" s="6" t="s">
        <v>348</v>
      </c>
      <c r="E61" s="6" t="s">
        <v>54</v>
      </c>
      <c r="F61" s="6" t="s">
        <v>349</v>
      </c>
      <c r="G61" s="6" t="s">
        <v>350</v>
      </c>
      <c r="H61" s="6" t="s">
        <v>43</v>
      </c>
      <c r="I61" s="6" t="s">
        <v>57</v>
      </c>
      <c r="J61" s="6" t="n">
        <f aca="false">IFERROR(INDEX(Lists!$B$2:$B$6,MATCH(I61,Lists!$A$2:$A$6,0)),0)</f>
        <v>3</v>
      </c>
      <c r="K61" s="6" t="s">
        <v>45</v>
      </c>
      <c r="L61" s="6" t="s">
        <v>307</v>
      </c>
      <c r="M61" s="6"/>
      <c r="N61" s="6" t="s">
        <v>48</v>
      </c>
      <c r="O61" s="6" t="s">
        <v>49</v>
      </c>
      <c r="P61" s="6" t="n">
        <v>61</v>
      </c>
      <c r="Q61" s="6"/>
    </row>
    <row r="62" customFormat="false" ht="113.4" hidden="false" customHeight="false" outlineLevel="0" collapsed="false">
      <c r="A62" s="6" t="s">
        <v>351</v>
      </c>
      <c r="B62" s="6" t="s">
        <v>146</v>
      </c>
      <c r="C62" s="6" t="s">
        <v>147</v>
      </c>
      <c r="D62" s="6" t="s">
        <v>352</v>
      </c>
      <c r="E62" s="6" t="s">
        <v>108</v>
      </c>
      <c r="F62" s="6" t="s">
        <v>353</v>
      </c>
      <c r="G62" s="6" t="s">
        <v>354</v>
      </c>
      <c r="H62" s="6" t="s">
        <v>43</v>
      </c>
      <c r="I62" s="6" t="s">
        <v>57</v>
      </c>
      <c r="J62" s="6" t="n">
        <f aca="false">IFERROR(INDEX(Lists!$B$2:$B$6,MATCH(I62,Lists!$A$2:$A$6,0)),0)</f>
        <v>3</v>
      </c>
      <c r="K62" s="6" t="s">
        <v>45</v>
      </c>
      <c r="L62" s="6" t="s">
        <v>307</v>
      </c>
      <c r="M62" s="6" t="s">
        <v>342</v>
      </c>
      <c r="N62" s="6" t="s">
        <v>48</v>
      </c>
      <c r="O62" s="6" t="s">
        <v>49</v>
      </c>
      <c r="P62" s="6" t="n">
        <v>62</v>
      </c>
      <c r="Q62" s="6"/>
    </row>
    <row r="63" customFormat="false" ht="68.65" hidden="false" customHeight="false" outlineLevel="0" collapsed="false">
      <c r="A63" s="6" t="s">
        <v>355</v>
      </c>
      <c r="B63" s="6" t="s">
        <v>146</v>
      </c>
      <c r="C63" s="6" t="s">
        <v>147</v>
      </c>
      <c r="D63" s="6" t="s">
        <v>356</v>
      </c>
      <c r="E63" s="6" t="s">
        <v>108</v>
      </c>
      <c r="F63" s="6" t="s">
        <v>357</v>
      </c>
      <c r="G63" s="6" t="s">
        <v>358</v>
      </c>
      <c r="H63" s="6" t="s">
        <v>43</v>
      </c>
      <c r="I63" s="6" t="s">
        <v>44</v>
      </c>
      <c r="J63" s="6" t="n">
        <f aca="false">IFERROR(INDEX(Lists!$B$2:$B$6,MATCH(I63,Lists!$A$2:$A$6,0)),0)</f>
        <v>2</v>
      </c>
      <c r="K63" s="6" t="s">
        <v>45</v>
      </c>
      <c r="L63" s="6" t="s">
        <v>307</v>
      </c>
      <c r="M63" s="6" t="s">
        <v>359</v>
      </c>
      <c r="N63" s="6" t="s">
        <v>48</v>
      </c>
      <c r="O63" s="6" t="s">
        <v>49</v>
      </c>
      <c r="P63" s="6" t="n">
        <v>63</v>
      </c>
      <c r="Q63" s="6"/>
    </row>
    <row r="64" customFormat="false" ht="35.05" hidden="false" customHeight="false" outlineLevel="0" collapsed="false">
      <c r="A64" s="6" t="s">
        <v>360</v>
      </c>
      <c r="B64" s="6" t="s">
        <v>146</v>
      </c>
      <c r="C64" s="6" t="s">
        <v>147</v>
      </c>
      <c r="D64" s="6" t="s">
        <v>361</v>
      </c>
      <c r="E64" s="6" t="s">
        <v>54</v>
      </c>
      <c r="F64" s="6" t="s">
        <v>362</v>
      </c>
      <c r="G64" s="6" t="s">
        <v>363</v>
      </c>
      <c r="H64" s="6" t="s">
        <v>43</v>
      </c>
      <c r="I64" s="6" t="s">
        <v>44</v>
      </c>
      <c r="J64" s="6" t="n">
        <f aca="false">IFERROR(INDEX(Lists!$B$2:$B$6,MATCH(I64,Lists!$A$2:$A$6,0)),0)</f>
        <v>2</v>
      </c>
      <c r="K64" s="6" t="s">
        <v>45</v>
      </c>
      <c r="L64" s="6" t="s">
        <v>307</v>
      </c>
      <c r="M64" s="6"/>
      <c r="N64" s="6" t="s">
        <v>48</v>
      </c>
      <c r="O64" s="6" t="s">
        <v>49</v>
      </c>
      <c r="P64" s="6" t="n">
        <v>64</v>
      </c>
      <c r="Q64" s="6"/>
    </row>
    <row r="65" customFormat="false" ht="68.65" hidden="false" customHeight="false" outlineLevel="0" collapsed="false">
      <c r="A65" s="6" t="s">
        <v>364</v>
      </c>
      <c r="B65" s="6" t="s">
        <v>365</v>
      </c>
      <c r="C65" s="6" t="s">
        <v>366</v>
      </c>
      <c r="D65" s="6" t="s">
        <v>367</v>
      </c>
      <c r="E65" s="6" t="s">
        <v>54</v>
      </c>
      <c r="F65" s="6" t="s">
        <v>368</v>
      </c>
      <c r="G65" s="6" t="s">
        <v>369</v>
      </c>
      <c r="H65" s="6" t="s">
        <v>43</v>
      </c>
      <c r="I65" s="6" t="s">
        <v>57</v>
      </c>
      <c r="J65" s="6" t="n">
        <f aca="false">IFERROR(INDEX(Lists!$B$2:$B$6,MATCH(I65,Lists!$A$2:$A$6,0)),0)</f>
        <v>3</v>
      </c>
      <c r="K65" s="6" t="s">
        <v>45</v>
      </c>
      <c r="L65" s="6" t="s">
        <v>307</v>
      </c>
      <c r="M65" s="6"/>
      <c r="N65" s="6" t="s">
        <v>48</v>
      </c>
      <c r="O65" s="6" t="s">
        <v>49</v>
      </c>
      <c r="P65" s="6" t="n">
        <v>49</v>
      </c>
      <c r="Q65" s="6"/>
    </row>
    <row r="66" customFormat="false" ht="46.25" hidden="false" customHeight="false" outlineLevel="0" collapsed="false">
      <c r="A66" s="6" t="s">
        <v>370</v>
      </c>
      <c r="B66" s="6" t="s">
        <v>365</v>
      </c>
      <c r="C66" s="6" t="s">
        <v>366</v>
      </c>
      <c r="D66" s="6" t="s">
        <v>371</v>
      </c>
      <c r="E66" s="6" t="s">
        <v>108</v>
      </c>
      <c r="F66" s="6" t="s">
        <v>372</v>
      </c>
      <c r="G66" s="6" t="s">
        <v>373</v>
      </c>
      <c r="H66" s="6" t="s">
        <v>43</v>
      </c>
      <c r="I66" s="6" t="s">
        <v>57</v>
      </c>
      <c r="J66" s="6" t="n">
        <f aca="false">IFERROR(INDEX(Lists!$B$2:$B$6,MATCH(I66,Lists!$A$2:$A$6,0)),0)</f>
        <v>3</v>
      </c>
      <c r="K66" s="6" t="s">
        <v>45</v>
      </c>
      <c r="L66" s="6" t="s">
        <v>307</v>
      </c>
      <c r="M66" s="6" t="s">
        <v>374</v>
      </c>
      <c r="N66" s="6" t="s">
        <v>48</v>
      </c>
      <c r="O66" s="6" t="s">
        <v>49</v>
      </c>
      <c r="P66" s="6" t="n">
        <v>50</v>
      </c>
      <c r="Q66" s="6"/>
    </row>
    <row r="67" customFormat="false" ht="46.25" hidden="false" customHeight="false" outlineLevel="0" collapsed="false">
      <c r="A67" s="6" t="s">
        <v>375</v>
      </c>
      <c r="B67" s="6" t="s">
        <v>365</v>
      </c>
      <c r="C67" s="6" t="s">
        <v>366</v>
      </c>
      <c r="D67" s="6" t="s">
        <v>376</v>
      </c>
      <c r="E67" s="6" t="s">
        <v>97</v>
      </c>
      <c r="F67" s="6" t="s">
        <v>377</v>
      </c>
      <c r="G67" s="6" t="s">
        <v>378</v>
      </c>
      <c r="H67" s="6" t="s">
        <v>43</v>
      </c>
      <c r="I67" s="6" t="s">
        <v>44</v>
      </c>
      <c r="J67" s="6" t="n">
        <f aca="false">IFERROR(INDEX(Lists!$B$2:$B$6,MATCH(I67,Lists!$A$2:$A$6,0)),0)</f>
        <v>2</v>
      </c>
      <c r="K67" s="6" t="s">
        <v>45</v>
      </c>
      <c r="L67" s="6" t="s">
        <v>307</v>
      </c>
      <c r="M67" s="6" t="s">
        <v>379</v>
      </c>
      <c r="N67" s="6" t="s">
        <v>48</v>
      </c>
      <c r="O67" s="6" t="s">
        <v>49</v>
      </c>
      <c r="P67" s="6" t="n">
        <v>51</v>
      </c>
      <c r="Q67" s="6"/>
    </row>
    <row r="68" customFormat="false" ht="68.65" hidden="false" customHeight="false" outlineLevel="0" collapsed="false">
      <c r="A68" s="6" t="s">
        <v>380</v>
      </c>
      <c r="B68" s="6" t="s">
        <v>204</v>
      </c>
      <c r="C68" s="6" t="s">
        <v>205</v>
      </c>
      <c r="D68" s="6" t="s">
        <v>381</v>
      </c>
      <c r="E68" s="6" t="s">
        <v>108</v>
      </c>
      <c r="F68" s="6" t="s">
        <v>382</v>
      </c>
      <c r="G68" s="6" t="s">
        <v>383</v>
      </c>
      <c r="H68" s="6" t="s">
        <v>43</v>
      </c>
      <c r="I68" s="6" t="s">
        <v>57</v>
      </c>
      <c r="J68" s="6" t="n">
        <f aca="false">IFERROR(INDEX(Lists!$B$2:$B$6,MATCH(I68,Lists!$A$2:$A$6,0)),0)</f>
        <v>3</v>
      </c>
      <c r="K68" s="6" t="s">
        <v>45</v>
      </c>
      <c r="L68" s="6" t="s">
        <v>384</v>
      </c>
      <c r="M68" s="6" t="s">
        <v>385</v>
      </c>
      <c r="N68" s="6" t="s">
        <v>48</v>
      </c>
      <c r="O68" s="6" t="s">
        <v>49</v>
      </c>
      <c r="P68" s="6" t="n">
        <v>73</v>
      </c>
      <c r="Q68" s="6"/>
    </row>
    <row r="69" customFormat="false" ht="46.25" hidden="false" customHeight="false" outlineLevel="0" collapsed="false">
      <c r="A69" s="6" t="s">
        <v>386</v>
      </c>
      <c r="B69" s="6" t="s">
        <v>318</v>
      </c>
      <c r="C69" s="6" t="s">
        <v>319</v>
      </c>
      <c r="D69" s="6" t="s">
        <v>387</v>
      </c>
      <c r="E69" s="6" t="s">
        <v>40</v>
      </c>
      <c r="F69" s="6" t="s">
        <v>388</v>
      </c>
      <c r="G69" s="6" t="s">
        <v>389</v>
      </c>
      <c r="H69" s="6" t="s">
        <v>43</v>
      </c>
      <c r="I69" s="6" t="s">
        <v>44</v>
      </c>
      <c r="J69" s="6" t="n">
        <f aca="false">IFERROR(INDEX(Lists!$B$2:$B$6,MATCH(I69,Lists!$A$2:$A$6,0)),0)</f>
        <v>2</v>
      </c>
      <c r="K69" s="6" t="s">
        <v>45</v>
      </c>
      <c r="L69" s="6" t="s">
        <v>384</v>
      </c>
      <c r="M69" s="6" t="s">
        <v>390</v>
      </c>
      <c r="N69" s="6" t="s">
        <v>48</v>
      </c>
      <c r="O69" s="6" t="s">
        <v>49</v>
      </c>
      <c r="P69" s="6" t="n">
        <v>72</v>
      </c>
      <c r="Q69" s="6"/>
    </row>
    <row r="70" customFormat="false" ht="113.4" hidden="false" customHeight="false" outlineLevel="0" collapsed="false">
      <c r="A70" s="6" t="s">
        <v>391</v>
      </c>
      <c r="B70" s="6" t="s">
        <v>392</v>
      </c>
      <c r="C70" s="6" t="s">
        <v>393</v>
      </c>
      <c r="D70" s="6" t="s">
        <v>394</v>
      </c>
      <c r="E70" s="6" t="s">
        <v>40</v>
      </c>
      <c r="F70" s="6" t="s">
        <v>395</v>
      </c>
      <c r="G70" s="6" t="s">
        <v>396</v>
      </c>
      <c r="H70" s="6" t="s">
        <v>43</v>
      </c>
      <c r="I70" s="6" t="s">
        <v>57</v>
      </c>
      <c r="J70" s="6" t="n">
        <f aca="false">IFERROR(INDEX(Lists!$B$2:$B$6,MATCH(I70,Lists!$A$2:$A$6,0)),0)</f>
        <v>3</v>
      </c>
      <c r="K70" s="6" t="s">
        <v>45</v>
      </c>
      <c r="L70" s="6" t="s">
        <v>384</v>
      </c>
      <c r="M70" s="6" t="s">
        <v>397</v>
      </c>
      <c r="N70" s="6" t="s">
        <v>48</v>
      </c>
      <c r="O70" s="6" t="s">
        <v>49</v>
      </c>
      <c r="P70" s="6" t="n">
        <v>65</v>
      </c>
      <c r="Q70" s="6"/>
    </row>
    <row r="71" customFormat="false" ht="35.05" hidden="false" customHeight="false" outlineLevel="0" collapsed="false">
      <c r="A71" s="6" t="s">
        <v>398</v>
      </c>
      <c r="B71" s="6" t="s">
        <v>392</v>
      </c>
      <c r="C71" s="6" t="s">
        <v>393</v>
      </c>
      <c r="D71" s="6" t="s">
        <v>399</v>
      </c>
      <c r="E71" s="6" t="s">
        <v>400</v>
      </c>
      <c r="F71" s="6" t="s">
        <v>401</v>
      </c>
      <c r="G71" s="6" t="s">
        <v>402</v>
      </c>
      <c r="H71" s="6" t="s">
        <v>43</v>
      </c>
      <c r="I71" s="6" t="s">
        <v>44</v>
      </c>
      <c r="J71" s="6" t="n">
        <f aca="false">IFERROR(INDEX(Lists!$B$2:$B$6,MATCH(I71,Lists!$A$2:$A$6,0)),0)</f>
        <v>2</v>
      </c>
      <c r="K71" s="6" t="s">
        <v>45</v>
      </c>
      <c r="L71" s="6" t="s">
        <v>384</v>
      </c>
      <c r="M71" s="6" t="s">
        <v>397</v>
      </c>
      <c r="N71" s="6" t="s">
        <v>48</v>
      </c>
      <c r="O71" s="6" t="s">
        <v>49</v>
      </c>
      <c r="P71" s="6" t="n">
        <v>66</v>
      </c>
      <c r="Q71" s="6"/>
    </row>
    <row r="72" customFormat="false" ht="68.65" hidden="false" customHeight="false" outlineLevel="0" collapsed="false">
      <c r="A72" s="6" t="s">
        <v>403</v>
      </c>
      <c r="B72" s="6" t="s">
        <v>392</v>
      </c>
      <c r="C72" s="6" t="s">
        <v>393</v>
      </c>
      <c r="D72" s="6" t="s">
        <v>404</v>
      </c>
      <c r="E72" s="6" t="s">
        <v>40</v>
      </c>
      <c r="F72" s="6" t="s">
        <v>405</v>
      </c>
      <c r="G72" s="6" t="s">
        <v>406</v>
      </c>
      <c r="H72" s="6" t="s">
        <v>43</v>
      </c>
      <c r="I72" s="6" t="s">
        <v>57</v>
      </c>
      <c r="J72" s="6" t="n">
        <f aca="false">IFERROR(INDEX(Lists!$B$2:$B$6,MATCH(I72,Lists!$A$2:$A$6,0)),0)</f>
        <v>3</v>
      </c>
      <c r="K72" s="6" t="s">
        <v>45</v>
      </c>
      <c r="L72" s="6" t="s">
        <v>384</v>
      </c>
      <c r="M72" s="6" t="s">
        <v>407</v>
      </c>
      <c r="N72" s="6" t="s">
        <v>48</v>
      </c>
      <c r="O72" s="6" t="s">
        <v>49</v>
      </c>
      <c r="P72" s="6" t="n">
        <v>67</v>
      </c>
      <c r="Q72" s="6"/>
    </row>
    <row r="73" customFormat="false" ht="46.25" hidden="false" customHeight="false" outlineLevel="0" collapsed="false">
      <c r="A73" s="6" t="s">
        <v>408</v>
      </c>
      <c r="B73" s="6" t="s">
        <v>392</v>
      </c>
      <c r="C73" s="6" t="s">
        <v>393</v>
      </c>
      <c r="D73" s="6" t="s">
        <v>409</v>
      </c>
      <c r="E73" s="6" t="s">
        <v>40</v>
      </c>
      <c r="F73" s="6" t="s">
        <v>410</v>
      </c>
      <c r="G73" s="6" t="s">
        <v>411</v>
      </c>
      <c r="H73" s="6" t="s">
        <v>43</v>
      </c>
      <c r="I73" s="6" t="s">
        <v>44</v>
      </c>
      <c r="J73" s="6" t="n">
        <f aca="false">IFERROR(INDEX(Lists!$B$2:$B$6,MATCH(I73,Lists!$A$2:$A$6,0)),0)</f>
        <v>2</v>
      </c>
      <c r="K73" s="6" t="s">
        <v>45</v>
      </c>
      <c r="L73" s="6" t="s">
        <v>384</v>
      </c>
      <c r="M73" s="6" t="s">
        <v>407</v>
      </c>
      <c r="N73" s="6" t="s">
        <v>48</v>
      </c>
      <c r="O73" s="6" t="s">
        <v>49</v>
      </c>
      <c r="P73" s="6" t="n">
        <v>68</v>
      </c>
      <c r="Q73" s="6"/>
    </row>
    <row r="74" customFormat="false" ht="35.05" hidden="false" customHeight="false" outlineLevel="0" collapsed="false">
      <c r="A74" s="6" t="s">
        <v>412</v>
      </c>
      <c r="B74" s="6" t="s">
        <v>392</v>
      </c>
      <c r="C74" s="6" t="s">
        <v>393</v>
      </c>
      <c r="D74" s="6" t="s">
        <v>413</v>
      </c>
      <c r="E74" s="6" t="s">
        <v>40</v>
      </c>
      <c r="F74" s="6" t="s">
        <v>414</v>
      </c>
      <c r="G74" s="6" t="s">
        <v>415</v>
      </c>
      <c r="H74" s="6" t="s">
        <v>43</v>
      </c>
      <c r="I74" s="6" t="s">
        <v>44</v>
      </c>
      <c r="J74" s="6" t="n">
        <f aca="false">IFERROR(INDEX(Lists!$B$2:$B$6,MATCH(I74,Lists!$A$2:$A$6,0)),0)</f>
        <v>2</v>
      </c>
      <c r="K74" s="6" t="s">
        <v>45</v>
      </c>
      <c r="L74" s="6" t="s">
        <v>384</v>
      </c>
      <c r="M74" s="6" t="s">
        <v>416</v>
      </c>
      <c r="N74" s="6" t="s">
        <v>48</v>
      </c>
      <c r="O74" s="6" t="s">
        <v>49</v>
      </c>
      <c r="P74" s="6" t="n">
        <v>69</v>
      </c>
      <c r="Q74" s="6"/>
    </row>
    <row r="75" customFormat="false" ht="46.25" hidden="false" customHeight="false" outlineLevel="0" collapsed="false">
      <c r="A75" s="6" t="s">
        <v>417</v>
      </c>
      <c r="B75" s="6" t="s">
        <v>392</v>
      </c>
      <c r="C75" s="6" t="s">
        <v>393</v>
      </c>
      <c r="D75" s="6" t="s">
        <v>418</v>
      </c>
      <c r="E75" s="6" t="s">
        <v>400</v>
      </c>
      <c r="F75" s="6" t="s">
        <v>419</v>
      </c>
      <c r="G75" s="6" t="s">
        <v>420</v>
      </c>
      <c r="H75" s="6" t="s">
        <v>43</v>
      </c>
      <c r="I75" s="6" t="s">
        <v>44</v>
      </c>
      <c r="J75" s="6" t="n">
        <f aca="false">IFERROR(INDEX(Lists!$B$2:$B$6,MATCH(I75,Lists!$A$2:$A$6,0)),0)</f>
        <v>2</v>
      </c>
      <c r="K75" s="6" t="s">
        <v>45</v>
      </c>
      <c r="L75" s="6" t="s">
        <v>384</v>
      </c>
      <c r="M75" s="6" t="s">
        <v>421</v>
      </c>
      <c r="N75" s="6" t="s">
        <v>48</v>
      </c>
      <c r="O75" s="6" t="s">
        <v>49</v>
      </c>
      <c r="P75" s="6" t="n">
        <v>70</v>
      </c>
      <c r="Q75" s="6"/>
    </row>
    <row r="76" customFormat="false" ht="68.65" hidden="false" customHeight="false" outlineLevel="0" collapsed="false">
      <c r="A76" s="6" t="s">
        <v>422</v>
      </c>
      <c r="B76" s="6" t="s">
        <v>392</v>
      </c>
      <c r="C76" s="6" t="s">
        <v>393</v>
      </c>
      <c r="D76" s="6" t="s">
        <v>423</v>
      </c>
      <c r="E76" s="6" t="s">
        <v>40</v>
      </c>
      <c r="F76" s="6" t="s">
        <v>424</v>
      </c>
      <c r="G76" s="6" t="s">
        <v>425</v>
      </c>
      <c r="H76" s="6" t="s">
        <v>43</v>
      </c>
      <c r="I76" s="6" t="s">
        <v>57</v>
      </c>
      <c r="J76" s="6" t="n">
        <f aca="false">IFERROR(INDEX(Lists!$B$2:$B$6,MATCH(I76,Lists!$A$2:$A$6,0)),0)</f>
        <v>3</v>
      </c>
      <c r="K76" s="6" t="s">
        <v>45</v>
      </c>
      <c r="L76" s="6" t="s">
        <v>384</v>
      </c>
      <c r="M76" s="6" t="s">
        <v>426</v>
      </c>
      <c r="N76" s="6" t="s">
        <v>48</v>
      </c>
      <c r="O76" s="6" t="s">
        <v>49</v>
      </c>
      <c r="P76" s="6" t="n">
        <v>71</v>
      </c>
      <c r="Q76" s="6"/>
    </row>
    <row r="77" customFormat="false" ht="91" hidden="false" customHeight="false" outlineLevel="0" collapsed="false">
      <c r="A77" s="6" t="s">
        <v>427</v>
      </c>
      <c r="B77" s="6" t="s">
        <v>392</v>
      </c>
      <c r="C77" s="6" t="s">
        <v>393</v>
      </c>
      <c r="D77" s="6" t="s">
        <v>428</v>
      </c>
      <c r="E77" s="6" t="s">
        <v>40</v>
      </c>
      <c r="F77" s="6" t="s">
        <v>429</v>
      </c>
      <c r="G77" s="6" t="s">
        <v>430</v>
      </c>
      <c r="H77" s="6" t="s">
        <v>220</v>
      </c>
      <c r="I77" s="6" t="s">
        <v>44</v>
      </c>
      <c r="J77" s="6" t="n">
        <f aca="false">IFERROR(INDEX(Lists!$B$2:$B$6,MATCH(I77,Lists!$A$2:$A$6,0)),0)</f>
        <v>2</v>
      </c>
      <c r="K77" s="6" t="s">
        <v>45</v>
      </c>
      <c r="L77" s="6" t="s">
        <v>384</v>
      </c>
      <c r="M77" s="6" t="s">
        <v>431</v>
      </c>
      <c r="N77" s="6" t="s">
        <v>48</v>
      </c>
      <c r="O77" s="6" t="s">
        <v>49</v>
      </c>
      <c r="P77" s="6" t="n">
        <v>217</v>
      </c>
      <c r="Q77" s="6"/>
    </row>
    <row r="78" customFormat="false" ht="46.25" hidden="false" customHeight="false" outlineLevel="0" collapsed="false">
      <c r="A78" s="6" t="s">
        <v>432</v>
      </c>
      <c r="B78" s="6" t="s">
        <v>223</v>
      </c>
      <c r="C78" s="6" t="s">
        <v>224</v>
      </c>
      <c r="D78" s="6" t="s">
        <v>433</v>
      </c>
      <c r="E78" s="6" t="s">
        <v>40</v>
      </c>
      <c r="F78" s="6" t="s">
        <v>434</v>
      </c>
      <c r="G78" s="6" t="s">
        <v>435</v>
      </c>
      <c r="H78" s="6" t="s">
        <v>43</v>
      </c>
      <c r="I78" s="6" t="s">
        <v>57</v>
      </c>
      <c r="J78" s="6" t="n">
        <f aca="false">IFERROR(INDEX(Lists!$B$2:$B$6,MATCH(I78,Lists!$A$2:$A$6,0)),0)</f>
        <v>3</v>
      </c>
      <c r="K78" s="6" t="s">
        <v>45</v>
      </c>
      <c r="L78" s="6" t="s">
        <v>384</v>
      </c>
      <c r="M78" s="6" t="s">
        <v>237</v>
      </c>
      <c r="N78" s="6" t="s">
        <v>48</v>
      </c>
      <c r="O78" s="6" t="s">
        <v>49</v>
      </c>
      <c r="P78" s="6" t="n">
        <v>74</v>
      </c>
      <c r="Q78" s="6"/>
    </row>
    <row r="79" customFormat="false" ht="91" hidden="false" customHeight="false" outlineLevel="0" collapsed="false">
      <c r="A79" s="6" t="s">
        <v>436</v>
      </c>
      <c r="B79" s="6" t="s">
        <v>223</v>
      </c>
      <c r="C79" s="6" t="s">
        <v>224</v>
      </c>
      <c r="D79" s="6" t="s">
        <v>437</v>
      </c>
      <c r="E79" s="6" t="s">
        <v>40</v>
      </c>
      <c r="F79" s="6" t="s">
        <v>438</v>
      </c>
      <c r="G79" s="6" t="s">
        <v>439</v>
      </c>
      <c r="H79" s="6" t="s">
        <v>43</v>
      </c>
      <c r="I79" s="6" t="s">
        <v>57</v>
      </c>
      <c r="J79" s="6" t="n">
        <f aca="false">IFERROR(INDEX(Lists!$B$2:$B$6,MATCH(I79,Lists!$A$2:$A$6,0)),0)</f>
        <v>3</v>
      </c>
      <c r="K79" s="6" t="s">
        <v>45</v>
      </c>
      <c r="L79" s="6" t="s">
        <v>384</v>
      </c>
      <c r="M79" s="6" t="s">
        <v>440</v>
      </c>
      <c r="N79" s="6" t="s">
        <v>48</v>
      </c>
      <c r="O79" s="6" t="s">
        <v>49</v>
      </c>
      <c r="P79" s="6" t="n">
        <v>75</v>
      </c>
      <c r="Q79" s="6"/>
    </row>
    <row r="80" customFormat="false" ht="79.85" hidden="false" customHeight="false" outlineLevel="0" collapsed="false">
      <c r="A80" s="6" t="s">
        <v>441</v>
      </c>
      <c r="B80" s="6" t="s">
        <v>223</v>
      </c>
      <c r="C80" s="6" t="s">
        <v>224</v>
      </c>
      <c r="D80" s="6" t="s">
        <v>442</v>
      </c>
      <c r="E80" s="6" t="s">
        <v>40</v>
      </c>
      <c r="F80" s="6" t="s">
        <v>443</v>
      </c>
      <c r="G80" s="6" t="s">
        <v>444</v>
      </c>
      <c r="H80" s="6" t="s">
        <v>43</v>
      </c>
      <c r="I80" s="6" t="s">
        <v>57</v>
      </c>
      <c r="J80" s="6" t="n">
        <f aca="false">IFERROR(INDEX(Lists!$B$2:$B$6,MATCH(I80,Lists!$A$2:$A$6,0)),0)</f>
        <v>3</v>
      </c>
      <c r="K80" s="6" t="s">
        <v>45</v>
      </c>
      <c r="L80" s="6" t="s">
        <v>384</v>
      </c>
      <c r="M80" s="6" t="s">
        <v>445</v>
      </c>
      <c r="N80" s="6" t="s">
        <v>48</v>
      </c>
      <c r="O80" s="6" t="s">
        <v>49</v>
      </c>
      <c r="P80" s="6" t="n">
        <v>76</v>
      </c>
      <c r="Q80" s="6"/>
    </row>
    <row r="81" customFormat="false" ht="35.05" hidden="false" customHeight="false" outlineLevel="0" collapsed="false">
      <c r="A81" s="6" t="s">
        <v>446</v>
      </c>
      <c r="B81" s="6" t="s">
        <v>223</v>
      </c>
      <c r="C81" s="6" t="s">
        <v>224</v>
      </c>
      <c r="D81" s="6" t="s">
        <v>447</v>
      </c>
      <c r="E81" s="6" t="s">
        <v>40</v>
      </c>
      <c r="F81" s="6" t="s">
        <v>448</v>
      </c>
      <c r="G81" s="6" t="s">
        <v>449</v>
      </c>
      <c r="H81" s="6" t="s">
        <v>43</v>
      </c>
      <c r="I81" s="6" t="s">
        <v>44</v>
      </c>
      <c r="J81" s="6" t="n">
        <f aca="false">IFERROR(INDEX(Lists!$B$2:$B$6,MATCH(I81,Lists!$A$2:$A$6,0)),0)</f>
        <v>2</v>
      </c>
      <c r="K81" s="6" t="s">
        <v>45</v>
      </c>
      <c r="L81" s="6" t="s">
        <v>384</v>
      </c>
      <c r="M81" s="6" t="s">
        <v>191</v>
      </c>
      <c r="N81" s="6" t="s">
        <v>48</v>
      </c>
      <c r="O81" s="6" t="s">
        <v>49</v>
      </c>
      <c r="P81" s="6" t="n">
        <v>77</v>
      </c>
      <c r="Q81" s="6"/>
    </row>
    <row r="82" customFormat="false" ht="46.25" hidden="false" customHeight="false" outlineLevel="0" collapsed="false">
      <c r="A82" s="6" t="s">
        <v>450</v>
      </c>
      <c r="B82" s="6" t="s">
        <v>59</v>
      </c>
      <c r="C82" s="6" t="s">
        <v>60</v>
      </c>
      <c r="D82" s="6" t="s">
        <v>451</v>
      </c>
      <c r="E82" s="6" t="s">
        <v>40</v>
      </c>
      <c r="F82" s="6" t="s">
        <v>452</v>
      </c>
      <c r="G82" s="6" t="s">
        <v>453</v>
      </c>
      <c r="H82" s="6" t="s">
        <v>43</v>
      </c>
      <c r="I82" s="6" t="s">
        <v>44</v>
      </c>
      <c r="J82" s="6" t="n">
        <f aca="false">IFERROR(INDEX(Lists!$B$2:$B$6,MATCH(I82,Lists!$A$2:$A$6,0)),0)</f>
        <v>2</v>
      </c>
      <c r="K82" s="6" t="s">
        <v>45</v>
      </c>
      <c r="L82" s="6" t="s">
        <v>384</v>
      </c>
      <c r="M82" s="6" t="s">
        <v>397</v>
      </c>
      <c r="N82" s="6" t="s">
        <v>48</v>
      </c>
      <c r="O82" s="6" t="s">
        <v>49</v>
      </c>
      <c r="P82" s="6" t="n">
        <v>78</v>
      </c>
      <c r="Q82" s="6"/>
    </row>
    <row r="83" customFormat="false" ht="79.85" hidden="false" customHeight="false" outlineLevel="0" collapsed="false">
      <c r="A83" s="6" t="s">
        <v>454</v>
      </c>
      <c r="B83" s="6" t="s">
        <v>160</v>
      </c>
      <c r="C83" s="6" t="s">
        <v>161</v>
      </c>
      <c r="D83" s="6" t="s">
        <v>455</v>
      </c>
      <c r="E83" s="6" t="s">
        <v>40</v>
      </c>
      <c r="F83" s="6" t="s">
        <v>456</v>
      </c>
      <c r="G83" s="6" t="s">
        <v>457</v>
      </c>
      <c r="H83" s="6" t="s">
        <v>43</v>
      </c>
      <c r="I83" s="6" t="s">
        <v>44</v>
      </c>
      <c r="J83" s="6" t="n">
        <f aca="false">IFERROR(INDEX(Lists!$B$2:$B$6,MATCH(I83,Lists!$A$2:$A$6,0)),0)</f>
        <v>2</v>
      </c>
      <c r="K83" s="6" t="s">
        <v>45</v>
      </c>
      <c r="L83" s="6" t="s">
        <v>458</v>
      </c>
      <c r="M83" s="6" t="s">
        <v>459</v>
      </c>
      <c r="N83" s="6" t="s">
        <v>48</v>
      </c>
      <c r="O83" s="6" t="s">
        <v>49</v>
      </c>
      <c r="P83" s="6" t="n">
        <v>89</v>
      </c>
      <c r="Q83" s="6"/>
    </row>
    <row r="84" customFormat="false" ht="79.85" hidden="false" customHeight="false" outlineLevel="0" collapsed="false">
      <c r="A84" s="6" t="s">
        <v>460</v>
      </c>
      <c r="B84" s="6" t="s">
        <v>160</v>
      </c>
      <c r="C84" s="6" t="s">
        <v>161</v>
      </c>
      <c r="D84" s="6" t="s">
        <v>461</v>
      </c>
      <c r="E84" s="6" t="s">
        <v>40</v>
      </c>
      <c r="F84" s="6" t="s">
        <v>462</v>
      </c>
      <c r="G84" s="6" t="s">
        <v>463</v>
      </c>
      <c r="H84" s="6" t="s">
        <v>43</v>
      </c>
      <c r="I84" s="6" t="s">
        <v>44</v>
      </c>
      <c r="J84" s="6" t="n">
        <f aca="false">IFERROR(INDEX(Lists!$B$2:$B$6,MATCH(I84,Lists!$A$2:$A$6,0)),0)</f>
        <v>2</v>
      </c>
      <c r="K84" s="6" t="s">
        <v>45</v>
      </c>
      <c r="L84" s="6" t="s">
        <v>458</v>
      </c>
      <c r="M84" s="6" t="s">
        <v>464</v>
      </c>
      <c r="N84" s="6" t="s">
        <v>48</v>
      </c>
      <c r="O84" s="6" t="s">
        <v>49</v>
      </c>
      <c r="P84" s="6" t="n">
        <v>90</v>
      </c>
      <c r="Q84" s="6"/>
    </row>
    <row r="85" customFormat="false" ht="113.4" hidden="false" customHeight="false" outlineLevel="0" collapsed="false">
      <c r="A85" s="6" t="s">
        <v>465</v>
      </c>
      <c r="B85" s="6" t="s">
        <v>160</v>
      </c>
      <c r="C85" s="6" t="s">
        <v>161</v>
      </c>
      <c r="D85" s="6" t="s">
        <v>466</v>
      </c>
      <c r="E85" s="6" t="s">
        <v>40</v>
      </c>
      <c r="F85" s="6" t="s">
        <v>467</v>
      </c>
      <c r="G85" s="6" t="s">
        <v>468</v>
      </c>
      <c r="H85" s="6" t="s">
        <v>220</v>
      </c>
      <c r="I85" s="6" t="s">
        <v>44</v>
      </c>
      <c r="J85" s="6" t="n">
        <f aca="false">IFERROR(INDEX(Lists!$B$2:$B$6,MATCH(I85,Lists!$A$2:$A$6,0)),0)</f>
        <v>2</v>
      </c>
      <c r="K85" s="6" t="s">
        <v>45</v>
      </c>
      <c r="L85" s="6" t="s">
        <v>458</v>
      </c>
      <c r="M85" s="6" t="s">
        <v>469</v>
      </c>
      <c r="N85" s="6" t="s">
        <v>48</v>
      </c>
      <c r="O85" s="6" t="s">
        <v>49</v>
      </c>
      <c r="P85" s="6" t="n">
        <v>91</v>
      </c>
      <c r="Q85" s="6"/>
    </row>
    <row r="86" customFormat="false" ht="68.65" hidden="false" customHeight="false" outlineLevel="0" collapsed="false">
      <c r="A86" s="6" t="s">
        <v>470</v>
      </c>
      <c r="B86" s="6" t="s">
        <v>193</v>
      </c>
      <c r="C86" s="6" t="s">
        <v>194</v>
      </c>
      <c r="D86" s="6" t="s">
        <v>471</v>
      </c>
      <c r="E86" s="6" t="s">
        <v>40</v>
      </c>
      <c r="F86" s="6" t="s">
        <v>472</v>
      </c>
      <c r="G86" s="6" t="s">
        <v>473</v>
      </c>
      <c r="H86" s="6" t="s">
        <v>43</v>
      </c>
      <c r="I86" s="6" t="s">
        <v>44</v>
      </c>
      <c r="J86" s="6" t="n">
        <f aca="false">IFERROR(INDEX(Lists!$B$2:$B$6,MATCH(I86,Lists!$A$2:$A$6,0)),0)</f>
        <v>2</v>
      </c>
      <c r="K86" s="6" t="s">
        <v>45</v>
      </c>
      <c r="L86" s="6" t="s">
        <v>458</v>
      </c>
      <c r="M86" s="6" t="s">
        <v>191</v>
      </c>
      <c r="N86" s="6" t="s">
        <v>48</v>
      </c>
      <c r="O86" s="6" t="s">
        <v>49</v>
      </c>
      <c r="P86" s="6" t="n">
        <v>87</v>
      </c>
      <c r="Q86" s="6"/>
    </row>
    <row r="87" customFormat="false" ht="35.05" hidden="false" customHeight="false" outlineLevel="0" collapsed="false">
      <c r="A87" s="6" t="s">
        <v>474</v>
      </c>
      <c r="B87" s="6" t="s">
        <v>131</v>
      </c>
      <c r="C87" s="6" t="s">
        <v>132</v>
      </c>
      <c r="D87" s="6" t="s">
        <v>475</v>
      </c>
      <c r="E87" s="6" t="s">
        <v>40</v>
      </c>
      <c r="F87" s="6" t="s">
        <v>476</v>
      </c>
      <c r="G87" s="6" t="s">
        <v>477</v>
      </c>
      <c r="H87" s="6" t="s">
        <v>220</v>
      </c>
      <c r="I87" s="6" t="s">
        <v>44</v>
      </c>
      <c r="J87" s="6" t="n">
        <f aca="false">IFERROR(INDEX(Lists!$B$2:$B$6,MATCH(I87,Lists!$A$2:$A$6,0)),0)</f>
        <v>2</v>
      </c>
      <c r="K87" s="6" t="s">
        <v>45</v>
      </c>
      <c r="L87" s="6" t="s">
        <v>458</v>
      </c>
      <c r="M87" s="6" t="s">
        <v>440</v>
      </c>
      <c r="N87" s="6" t="s">
        <v>48</v>
      </c>
      <c r="O87" s="6" t="s">
        <v>49</v>
      </c>
      <c r="P87" s="6" t="n">
        <v>81</v>
      </c>
      <c r="Q87" s="6"/>
    </row>
    <row r="88" customFormat="false" ht="46.25" hidden="false" customHeight="false" outlineLevel="0" collapsed="false">
      <c r="A88" s="6" t="s">
        <v>478</v>
      </c>
      <c r="B88" s="6" t="s">
        <v>131</v>
      </c>
      <c r="C88" s="6" t="s">
        <v>132</v>
      </c>
      <c r="D88" s="6" t="s">
        <v>479</v>
      </c>
      <c r="E88" s="6" t="s">
        <v>118</v>
      </c>
      <c r="F88" s="6" t="s">
        <v>480</v>
      </c>
      <c r="G88" s="6" t="s">
        <v>481</v>
      </c>
      <c r="H88" s="6" t="s">
        <v>220</v>
      </c>
      <c r="I88" s="6" t="s">
        <v>57</v>
      </c>
      <c r="J88" s="6" t="n">
        <f aca="false">IFERROR(INDEX(Lists!$B$2:$B$6,MATCH(I88,Lists!$A$2:$A$6,0)),0)</f>
        <v>3</v>
      </c>
      <c r="K88" s="6" t="s">
        <v>45</v>
      </c>
      <c r="L88" s="6" t="s">
        <v>458</v>
      </c>
      <c r="M88" s="6" t="s">
        <v>482</v>
      </c>
      <c r="N88" s="6" t="s">
        <v>48</v>
      </c>
      <c r="O88" s="6" t="s">
        <v>49</v>
      </c>
      <c r="P88" s="6" t="n">
        <v>82</v>
      </c>
      <c r="Q88" s="6"/>
    </row>
    <row r="89" customFormat="false" ht="35.05" hidden="false" customHeight="false" outlineLevel="0" collapsed="false">
      <c r="A89" s="6" t="s">
        <v>483</v>
      </c>
      <c r="B89" s="6" t="s">
        <v>392</v>
      </c>
      <c r="C89" s="6" t="s">
        <v>393</v>
      </c>
      <c r="D89" s="6" t="s">
        <v>484</v>
      </c>
      <c r="E89" s="6" t="s">
        <v>400</v>
      </c>
      <c r="F89" s="6" t="s">
        <v>485</v>
      </c>
      <c r="G89" s="6" t="s">
        <v>486</v>
      </c>
      <c r="H89" s="6" t="s">
        <v>220</v>
      </c>
      <c r="I89" s="6" t="s">
        <v>44</v>
      </c>
      <c r="J89" s="6" t="n">
        <f aca="false">IFERROR(INDEX(Lists!$B$2:$B$6,MATCH(I89,Lists!$A$2:$A$6,0)),0)</f>
        <v>2</v>
      </c>
      <c r="K89" s="6" t="s">
        <v>45</v>
      </c>
      <c r="L89" s="6" t="s">
        <v>458</v>
      </c>
      <c r="M89" s="6" t="s">
        <v>397</v>
      </c>
      <c r="N89" s="6" t="s">
        <v>48</v>
      </c>
      <c r="O89" s="6" t="s">
        <v>49</v>
      </c>
      <c r="P89" s="6" t="n">
        <v>83</v>
      </c>
      <c r="Q89" s="6"/>
    </row>
    <row r="90" customFormat="false" ht="35.05" hidden="false" customHeight="false" outlineLevel="0" collapsed="false">
      <c r="A90" s="6" t="s">
        <v>487</v>
      </c>
      <c r="B90" s="6" t="s">
        <v>392</v>
      </c>
      <c r="C90" s="6" t="s">
        <v>393</v>
      </c>
      <c r="D90" s="6" t="s">
        <v>488</v>
      </c>
      <c r="E90" s="6" t="s">
        <v>40</v>
      </c>
      <c r="F90" s="6" t="s">
        <v>489</v>
      </c>
      <c r="G90" s="6" t="s">
        <v>490</v>
      </c>
      <c r="H90" s="6" t="s">
        <v>220</v>
      </c>
      <c r="I90" s="6" t="s">
        <v>44</v>
      </c>
      <c r="J90" s="6" t="n">
        <f aca="false">IFERROR(INDEX(Lists!$B$2:$B$6,MATCH(I90,Lists!$A$2:$A$6,0)),0)</f>
        <v>2</v>
      </c>
      <c r="K90" s="6" t="s">
        <v>45</v>
      </c>
      <c r="L90" s="6" t="s">
        <v>458</v>
      </c>
      <c r="M90" s="6" t="s">
        <v>407</v>
      </c>
      <c r="N90" s="6" t="s">
        <v>48</v>
      </c>
      <c r="O90" s="6" t="s">
        <v>49</v>
      </c>
      <c r="P90" s="6" t="n">
        <v>84</v>
      </c>
      <c r="Q90" s="6"/>
    </row>
    <row r="91" customFormat="false" ht="35.05" hidden="false" customHeight="false" outlineLevel="0" collapsed="false">
      <c r="A91" s="6" t="s">
        <v>491</v>
      </c>
      <c r="B91" s="6" t="s">
        <v>223</v>
      </c>
      <c r="C91" s="6" t="s">
        <v>224</v>
      </c>
      <c r="D91" s="6" t="s">
        <v>492</v>
      </c>
      <c r="E91" s="6" t="s">
        <v>40</v>
      </c>
      <c r="F91" s="6" t="s">
        <v>493</v>
      </c>
      <c r="G91" s="6" t="s">
        <v>494</v>
      </c>
      <c r="H91" s="6" t="s">
        <v>220</v>
      </c>
      <c r="I91" s="6" t="s">
        <v>44</v>
      </c>
      <c r="J91" s="6" t="n">
        <f aca="false">IFERROR(INDEX(Lists!$B$2:$B$6,MATCH(I91,Lists!$A$2:$A$6,0)),0)</f>
        <v>2</v>
      </c>
      <c r="K91" s="6" t="s">
        <v>45</v>
      </c>
      <c r="L91" s="6" t="s">
        <v>458</v>
      </c>
      <c r="M91" s="6" t="s">
        <v>495</v>
      </c>
      <c r="N91" s="6" t="s">
        <v>48</v>
      </c>
      <c r="O91" s="6" t="s">
        <v>49</v>
      </c>
      <c r="P91" s="6" t="n">
        <v>92</v>
      </c>
      <c r="Q91" s="6"/>
    </row>
    <row r="92" customFormat="false" ht="79.85" hidden="false" customHeight="false" outlineLevel="0" collapsed="false">
      <c r="A92" s="6" t="s">
        <v>496</v>
      </c>
      <c r="B92" s="6" t="s">
        <v>37</v>
      </c>
      <c r="C92" s="6" t="s">
        <v>38</v>
      </c>
      <c r="D92" s="6" t="s">
        <v>497</v>
      </c>
      <c r="E92" s="6" t="s">
        <v>40</v>
      </c>
      <c r="F92" s="6" t="s">
        <v>498</v>
      </c>
      <c r="G92" s="6" t="s">
        <v>499</v>
      </c>
      <c r="H92" s="6" t="s">
        <v>43</v>
      </c>
      <c r="I92" s="6" t="s">
        <v>57</v>
      </c>
      <c r="J92" s="6" t="n">
        <f aca="false">IFERROR(INDEX(Lists!$B$2:$B$6,MATCH(I92,Lists!$A$2:$A$6,0)),0)</f>
        <v>3</v>
      </c>
      <c r="K92" s="6" t="s">
        <v>45</v>
      </c>
      <c r="L92" s="6" t="s">
        <v>458</v>
      </c>
      <c r="M92" s="6" t="s">
        <v>500</v>
      </c>
      <c r="N92" s="6" t="s">
        <v>48</v>
      </c>
      <c r="O92" s="6" t="s">
        <v>49</v>
      </c>
      <c r="P92" s="6" t="n">
        <v>88</v>
      </c>
      <c r="Q92" s="6"/>
    </row>
    <row r="93" customFormat="false" ht="35.05" hidden="false" customHeight="false" outlineLevel="0" collapsed="false">
      <c r="A93" s="6" t="s">
        <v>501</v>
      </c>
      <c r="B93" s="6" t="s">
        <v>51</v>
      </c>
      <c r="C93" s="6" t="s">
        <v>52</v>
      </c>
      <c r="D93" s="6" t="s">
        <v>502</v>
      </c>
      <c r="E93" s="6" t="s">
        <v>54</v>
      </c>
      <c r="F93" s="6" t="s">
        <v>503</v>
      </c>
      <c r="G93" s="6" t="s">
        <v>504</v>
      </c>
      <c r="H93" s="6" t="s">
        <v>43</v>
      </c>
      <c r="I93" s="6" t="s">
        <v>44</v>
      </c>
      <c r="J93" s="6" t="n">
        <f aca="false">IFERROR(INDEX(Lists!$B$2:$B$6,MATCH(I93,Lists!$A$2:$A$6,0)),0)</f>
        <v>2</v>
      </c>
      <c r="K93" s="6" t="s">
        <v>45</v>
      </c>
      <c r="L93" s="6" t="s">
        <v>458</v>
      </c>
      <c r="M93" s="6"/>
      <c r="N93" s="6" t="s">
        <v>48</v>
      </c>
      <c r="O93" s="6" t="s">
        <v>49</v>
      </c>
      <c r="P93" s="6" t="n">
        <v>85</v>
      </c>
      <c r="Q93" s="6"/>
    </row>
    <row r="94" customFormat="false" ht="46.25" hidden="false" customHeight="false" outlineLevel="0" collapsed="false">
      <c r="A94" s="6" t="s">
        <v>505</v>
      </c>
      <c r="B94" s="6" t="s">
        <v>51</v>
      </c>
      <c r="C94" s="6" t="s">
        <v>52</v>
      </c>
      <c r="D94" s="6" t="s">
        <v>506</v>
      </c>
      <c r="E94" s="6" t="s">
        <v>108</v>
      </c>
      <c r="F94" s="6" t="s">
        <v>507</v>
      </c>
      <c r="G94" s="6" t="s">
        <v>508</v>
      </c>
      <c r="H94" s="6" t="s">
        <v>43</v>
      </c>
      <c r="I94" s="6" t="s">
        <v>509</v>
      </c>
      <c r="J94" s="6" t="n">
        <f aca="false">IFERROR(INDEX(Lists!$B$2:$B$6,MATCH(I94,Lists!$A$2:$A$6,0)),0)</f>
        <v>8</v>
      </c>
      <c r="K94" s="6" t="s">
        <v>45</v>
      </c>
      <c r="L94" s="6" t="s">
        <v>458</v>
      </c>
      <c r="M94" s="6" t="s">
        <v>510</v>
      </c>
      <c r="N94" s="6" t="s">
        <v>48</v>
      </c>
      <c r="O94" s="6" t="s">
        <v>49</v>
      </c>
      <c r="P94" s="6" t="n">
        <v>86</v>
      </c>
      <c r="Q94" s="6"/>
    </row>
    <row r="95" customFormat="false" ht="35.05" hidden="false" customHeight="false" outlineLevel="0" collapsed="false">
      <c r="A95" s="6" t="s">
        <v>511</v>
      </c>
      <c r="B95" s="6" t="s">
        <v>512</v>
      </c>
      <c r="C95" s="6" t="s">
        <v>513</v>
      </c>
      <c r="D95" s="6" t="s">
        <v>514</v>
      </c>
      <c r="E95" s="6" t="s">
        <v>40</v>
      </c>
      <c r="F95" s="6" t="s">
        <v>515</v>
      </c>
      <c r="G95" s="6" t="s">
        <v>516</v>
      </c>
      <c r="H95" s="6" t="s">
        <v>43</v>
      </c>
      <c r="I95" s="6" t="s">
        <v>44</v>
      </c>
      <c r="J95" s="6" t="n">
        <f aca="false">IFERROR(INDEX(Lists!$B$2:$B$6,MATCH(I95,Lists!$A$2:$A$6,0)),0)</f>
        <v>2</v>
      </c>
      <c r="K95" s="6" t="s">
        <v>45</v>
      </c>
      <c r="L95" s="6" t="s">
        <v>458</v>
      </c>
      <c r="M95" s="6" t="s">
        <v>191</v>
      </c>
      <c r="N95" s="6" t="s">
        <v>48</v>
      </c>
      <c r="O95" s="6" t="s">
        <v>49</v>
      </c>
      <c r="P95" s="6" t="n">
        <v>79</v>
      </c>
      <c r="Q95" s="6"/>
    </row>
    <row r="96" customFormat="false" ht="35.05" hidden="false" customHeight="false" outlineLevel="0" collapsed="false">
      <c r="A96" s="6" t="s">
        <v>517</v>
      </c>
      <c r="B96" s="6" t="s">
        <v>512</v>
      </c>
      <c r="C96" s="6" t="s">
        <v>513</v>
      </c>
      <c r="D96" s="6" t="s">
        <v>518</v>
      </c>
      <c r="E96" s="6" t="s">
        <v>40</v>
      </c>
      <c r="F96" s="6" t="s">
        <v>519</v>
      </c>
      <c r="G96" s="6" t="s">
        <v>520</v>
      </c>
      <c r="H96" s="6" t="s">
        <v>43</v>
      </c>
      <c r="I96" s="6" t="s">
        <v>44</v>
      </c>
      <c r="J96" s="6" t="n">
        <f aca="false">IFERROR(INDEX(Lists!$B$2:$B$6,MATCH(I96,Lists!$A$2:$A$6,0)),0)</f>
        <v>2</v>
      </c>
      <c r="K96" s="6" t="s">
        <v>45</v>
      </c>
      <c r="L96" s="6" t="s">
        <v>458</v>
      </c>
      <c r="M96" s="6" t="s">
        <v>101</v>
      </c>
      <c r="N96" s="6" t="s">
        <v>48</v>
      </c>
      <c r="O96" s="6" t="s">
        <v>49</v>
      </c>
      <c r="P96" s="6" t="n">
        <v>80</v>
      </c>
      <c r="Q96" s="6"/>
    </row>
    <row r="97" customFormat="false" ht="35.05" hidden="false" customHeight="false" outlineLevel="0" collapsed="false">
      <c r="A97" s="6" t="s">
        <v>521</v>
      </c>
      <c r="B97" s="6" t="s">
        <v>160</v>
      </c>
      <c r="C97" s="6" t="s">
        <v>161</v>
      </c>
      <c r="D97" s="6" t="s">
        <v>522</v>
      </c>
      <c r="E97" s="6" t="s">
        <v>40</v>
      </c>
      <c r="F97" s="6" t="s">
        <v>523</v>
      </c>
      <c r="G97" s="6" t="s">
        <v>524</v>
      </c>
      <c r="H97" s="6" t="s">
        <v>43</v>
      </c>
      <c r="I97" s="6" t="s">
        <v>44</v>
      </c>
      <c r="J97" s="6" t="n">
        <f aca="false">IFERROR(INDEX(Lists!$B$2:$B$6,MATCH(I97,Lists!$A$2:$A$6,0)),0)</f>
        <v>2</v>
      </c>
      <c r="K97" s="6" t="s">
        <v>45</v>
      </c>
      <c r="L97" s="6" t="s">
        <v>525</v>
      </c>
      <c r="M97" s="6" t="s">
        <v>526</v>
      </c>
      <c r="N97" s="6" t="s">
        <v>48</v>
      </c>
      <c r="O97" s="6" t="s">
        <v>49</v>
      </c>
      <c r="P97" s="6" t="n">
        <v>99</v>
      </c>
      <c r="Q97" s="6"/>
    </row>
    <row r="98" customFormat="false" ht="68.65" hidden="false" customHeight="false" outlineLevel="0" collapsed="false">
      <c r="A98" s="6" t="s">
        <v>527</v>
      </c>
      <c r="B98" s="6" t="s">
        <v>193</v>
      </c>
      <c r="C98" s="6" t="s">
        <v>194</v>
      </c>
      <c r="D98" s="6" t="s">
        <v>528</v>
      </c>
      <c r="E98" s="6" t="s">
        <v>40</v>
      </c>
      <c r="F98" s="6" t="s">
        <v>529</v>
      </c>
      <c r="G98" s="6" t="s">
        <v>530</v>
      </c>
      <c r="H98" s="6" t="s">
        <v>43</v>
      </c>
      <c r="I98" s="6" t="s">
        <v>44</v>
      </c>
      <c r="J98" s="6" t="n">
        <f aca="false">IFERROR(INDEX(Lists!$B$2:$B$6,MATCH(I98,Lists!$A$2:$A$6,0)),0)</f>
        <v>2</v>
      </c>
      <c r="K98" s="6" t="s">
        <v>45</v>
      </c>
      <c r="L98" s="6" t="s">
        <v>525</v>
      </c>
      <c r="M98" s="6" t="s">
        <v>237</v>
      </c>
      <c r="N98" s="6" t="s">
        <v>48</v>
      </c>
      <c r="O98" s="6" t="s">
        <v>49</v>
      </c>
      <c r="P98" s="6" t="n">
        <v>95</v>
      </c>
      <c r="Q98" s="6"/>
    </row>
    <row r="99" customFormat="false" ht="68.65" hidden="false" customHeight="false" outlineLevel="0" collapsed="false">
      <c r="A99" s="6" t="s">
        <v>531</v>
      </c>
      <c r="B99" s="6" t="s">
        <v>204</v>
      </c>
      <c r="C99" s="6" t="s">
        <v>205</v>
      </c>
      <c r="D99" s="6" t="s">
        <v>532</v>
      </c>
      <c r="E99" s="6" t="s">
        <v>54</v>
      </c>
      <c r="F99" s="6" t="s">
        <v>533</v>
      </c>
      <c r="G99" s="6" t="s">
        <v>534</v>
      </c>
      <c r="H99" s="6" t="s">
        <v>43</v>
      </c>
      <c r="I99" s="6" t="s">
        <v>57</v>
      </c>
      <c r="J99" s="6" t="n">
        <f aca="false">IFERROR(INDEX(Lists!$B$2:$B$6,MATCH(I99,Lists!$A$2:$A$6,0)),0)</f>
        <v>3</v>
      </c>
      <c r="K99" s="6" t="s">
        <v>45</v>
      </c>
      <c r="L99" s="6" t="s">
        <v>525</v>
      </c>
      <c r="M99" s="6" t="s">
        <v>215</v>
      </c>
      <c r="N99" s="6" t="s">
        <v>48</v>
      </c>
      <c r="O99" s="6" t="s">
        <v>49</v>
      </c>
      <c r="P99" s="6" t="n">
        <v>97</v>
      </c>
      <c r="Q99" s="6"/>
    </row>
    <row r="100" customFormat="false" ht="35.05" hidden="false" customHeight="false" outlineLevel="0" collapsed="false">
      <c r="A100" s="6" t="s">
        <v>535</v>
      </c>
      <c r="B100" s="6" t="s">
        <v>94</v>
      </c>
      <c r="C100" s="6" t="s">
        <v>95</v>
      </c>
      <c r="D100" s="6" t="s">
        <v>536</v>
      </c>
      <c r="E100" s="6" t="s">
        <v>40</v>
      </c>
      <c r="F100" s="6" t="s">
        <v>537</v>
      </c>
      <c r="G100" s="6" t="s">
        <v>538</v>
      </c>
      <c r="H100" s="6" t="s">
        <v>43</v>
      </c>
      <c r="I100" s="6" t="s">
        <v>44</v>
      </c>
      <c r="J100" s="6" t="n">
        <f aca="false">IFERROR(INDEX(Lists!$B$2:$B$6,MATCH(I100,Lists!$A$2:$A$6,0)),0)</f>
        <v>2</v>
      </c>
      <c r="K100" s="6" t="s">
        <v>45</v>
      </c>
      <c r="L100" s="6" t="s">
        <v>525</v>
      </c>
      <c r="M100" s="6" t="s">
        <v>397</v>
      </c>
      <c r="N100" s="6" t="s">
        <v>48</v>
      </c>
      <c r="O100" s="6" t="s">
        <v>49</v>
      </c>
      <c r="P100" s="6" t="n">
        <v>96</v>
      </c>
      <c r="Q100" s="6"/>
    </row>
    <row r="101" customFormat="false" ht="46.25" hidden="false" customHeight="false" outlineLevel="0" collapsed="false">
      <c r="A101" s="6" t="s">
        <v>539</v>
      </c>
      <c r="B101" s="6" t="s">
        <v>37</v>
      </c>
      <c r="C101" s="6" t="s">
        <v>38</v>
      </c>
      <c r="D101" s="6" t="s">
        <v>540</v>
      </c>
      <c r="E101" s="6" t="s">
        <v>108</v>
      </c>
      <c r="F101" s="6" t="s">
        <v>541</v>
      </c>
      <c r="G101" s="6" t="s">
        <v>542</v>
      </c>
      <c r="H101" s="6" t="s">
        <v>43</v>
      </c>
      <c r="I101" s="6" t="s">
        <v>44</v>
      </c>
      <c r="J101" s="6" t="n">
        <f aca="false">IFERROR(INDEX(Lists!$B$2:$B$6,MATCH(I101,Lists!$A$2:$A$6,0)),0)</f>
        <v>2</v>
      </c>
      <c r="K101" s="6" t="s">
        <v>45</v>
      </c>
      <c r="L101" s="6" t="s">
        <v>525</v>
      </c>
      <c r="M101" s="6"/>
      <c r="N101" s="6" t="s">
        <v>48</v>
      </c>
      <c r="O101" s="6" t="s">
        <v>49</v>
      </c>
      <c r="P101" s="6" t="n">
        <v>98</v>
      </c>
      <c r="Q101" s="6"/>
    </row>
    <row r="102" customFormat="false" ht="91" hidden="false" customHeight="false" outlineLevel="0" collapsed="false">
      <c r="A102" s="6" t="s">
        <v>543</v>
      </c>
      <c r="B102" s="6" t="s">
        <v>37</v>
      </c>
      <c r="C102" s="6" t="s">
        <v>38</v>
      </c>
      <c r="D102" s="6" t="s">
        <v>544</v>
      </c>
      <c r="E102" s="6" t="s">
        <v>108</v>
      </c>
      <c r="F102" s="6" t="s">
        <v>545</v>
      </c>
      <c r="G102" s="6" t="s">
        <v>546</v>
      </c>
      <c r="H102" s="6" t="s">
        <v>43</v>
      </c>
      <c r="I102" s="6" t="s">
        <v>44</v>
      </c>
      <c r="J102" s="6" t="n">
        <f aca="false">IFERROR(INDEX(Lists!$B$2:$B$6,MATCH(I102,Lists!$A$2:$A$6,0)),0)</f>
        <v>2</v>
      </c>
      <c r="K102" s="6" t="s">
        <v>45</v>
      </c>
      <c r="L102" s="6" t="s">
        <v>525</v>
      </c>
      <c r="M102" s="6" t="s">
        <v>221</v>
      </c>
      <c r="N102" s="6" t="s">
        <v>48</v>
      </c>
      <c r="O102" s="6" t="s">
        <v>49</v>
      </c>
      <c r="P102" s="6" t="n">
        <v>218</v>
      </c>
      <c r="Q102" s="6"/>
    </row>
    <row r="103" customFormat="false" ht="35.05" hidden="false" customHeight="false" outlineLevel="0" collapsed="false">
      <c r="A103" s="6" t="s">
        <v>547</v>
      </c>
      <c r="B103" s="6" t="s">
        <v>59</v>
      </c>
      <c r="C103" s="6" t="s">
        <v>60</v>
      </c>
      <c r="D103" s="6" t="s">
        <v>548</v>
      </c>
      <c r="E103" s="6" t="s">
        <v>40</v>
      </c>
      <c r="F103" s="6" t="s">
        <v>549</v>
      </c>
      <c r="G103" s="6" t="s">
        <v>550</v>
      </c>
      <c r="H103" s="6" t="s">
        <v>43</v>
      </c>
      <c r="I103" s="6" t="s">
        <v>57</v>
      </c>
      <c r="J103" s="6" t="n">
        <f aca="false">IFERROR(INDEX(Lists!$B$2:$B$6,MATCH(I103,Lists!$A$2:$A$6,0)),0)</f>
        <v>3</v>
      </c>
      <c r="K103" s="6" t="s">
        <v>45</v>
      </c>
      <c r="L103" s="6" t="s">
        <v>525</v>
      </c>
      <c r="M103" s="6" t="s">
        <v>191</v>
      </c>
      <c r="N103" s="6" t="s">
        <v>48</v>
      </c>
      <c r="O103" s="6" t="s">
        <v>49</v>
      </c>
      <c r="P103" s="6" t="n">
        <v>102</v>
      </c>
      <c r="Q103" s="6"/>
    </row>
    <row r="104" customFormat="false" ht="46.25" hidden="false" customHeight="false" outlineLevel="0" collapsed="false">
      <c r="A104" s="6" t="s">
        <v>551</v>
      </c>
      <c r="B104" s="6" t="s">
        <v>59</v>
      </c>
      <c r="C104" s="6" t="s">
        <v>60</v>
      </c>
      <c r="D104" s="6" t="s">
        <v>552</v>
      </c>
      <c r="E104" s="6" t="s">
        <v>40</v>
      </c>
      <c r="F104" s="6" t="s">
        <v>553</v>
      </c>
      <c r="G104" s="6" t="s">
        <v>554</v>
      </c>
      <c r="H104" s="6" t="s">
        <v>43</v>
      </c>
      <c r="I104" s="6" t="s">
        <v>57</v>
      </c>
      <c r="J104" s="6" t="n">
        <f aca="false">IFERROR(INDEX(Lists!$B$2:$B$6,MATCH(I104,Lists!$A$2:$A$6,0)),0)</f>
        <v>3</v>
      </c>
      <c r="K104" s="6" t="s">
        <v>45</v>
      </c>
      <c r="L104" s="6" t="s">
        <v>525</v>
      </c>
      <c r="M104" s="6" t="s">
        <v>500</v>
      </c>
      <c r="N104" s="6" t="s">
        <v>48</v>
      </c>
      <c r="O104" s="6" t="s">
        <v>49</v>
      </c>
      <c r="P104" s="6" t="n">
        <v>103</v>
      </c>
      <c r="Q104" s="6"/>
    </row>
    <row r="105" customFormat="false" ht="35.05" hidden="false" customHeight="false" outlineLevel="0" collapsed="false">
      <c r="A105" s="6" t="s">
        <v>555</v>
      </c>
      <c r="B105" s="6" t="s">
        <v>59</v>
      </c>
      <c r="C105" s="6" t="s">
        <v>60</v>
      </c>
      <c r="D105" s="6" t="s">
        <v>556</v>
      </c>
      <c r="E105" s="6" t="s">
        <v>54</v>
      </c>
      <c r="F105" s="6" t="s">
        <v>557</v>
      </c>
      <c r="G105" s="6" t="s">
        <v>558</v>
      </c>
      <c r="H105" s="6" t="s">
        <v>43</v>
      </c>
      <c r="I105" s="6" t="s">
        <v>44</v>
      </c>
      <c r="J105" s="6" t="n">
        <f aca="false">IFERROR(INDEX(Lists!$B$2:$B$6,MATCH(I105,Lists!$A$2:$A$6,0)),0)</f>
        <v>2</v>
      </c>
      <c r="K105" s="6" t="s">
        <v>45</v>
      </c>
      <c r="L105" s="6" t="s">
        <v>525</v>
      </c>
      <c r="M105" s="6"/>
      <c r="N105" s="6" t="s">
        <v>48</v>
      </c>
      <c r="O105" s="6" t="s">
        <v>49</v>
      </c>
      <c r="P105" s="6" t="n">
        <v>104</v>
      </c>
      <c r="Q105" s="6"/>
    </row>
    <row r="106" customFormat="false" ht="35.05" hidden="false" customHeight="false" outlineLevel="0" collapsed="false">
      <c r="A106" s="6" t="s">
        <v>559</v>
      </c>
      <c r="B106" s="6" t="s">
        <v>59</v>
      </c>
      <c r="C106" s="6" t="s">
        <v>60</v>
      </c>
      <c r="D106" s="6" t="s">
        <v>560</v>
      </c>
      <c r="E106" s="6" t="s">
        <v>54</v>
      </c>
      <c r="F106" s="6" t="s">
        <v>561</v>
      </c>
      <c r="G106" s="6" t="s">
        <v>562</v>
      </c>
      <c r="H106" s="6" t="s">
        <v>43</v>
      </c>
      <c r="I106" s="6" t="s">
        <v>44</v>
      </c>
      <c r="J106" s="6" t="n">
        <f aca="false">IFERROR(INDEX(Lists!$B$2:$B$6,MATCH(I106,Lists!$A$2:$A$6,0)),0)</f>
        <v>2</v>
      </c>
      <c r="K106" s="6" t="s">
        <v>45</v>
      </c>
      <c r="L106" s="6" t="s">
        <v>525</v>
      </c>
      <c r="M106" s="6"/>
      <c r="N106" s="6" t="s">
        <v>48</v>
      </c>
      <c r="O106" s="6" t="s">
        <v>49</v>
      </c>
      <c r="P106" s="6" t="n">
        <v>105</v>
      </c>
      <c r="Q106" s="6"/>
    </row>
    <row r="107" customFormat="false" ht="35.05" hidden="false" customHeight="false" outlineLevel="0" collapsed="false">
      <c r="A107" s="6" t="s">
        <v>563</v>
      </c>
      <c r="B107" s="6" t="s">
        <v>59</v>
      </c>
      <c r="C107" s="6" t="s">
        <v>60</v>
      </c>
      <c r="D107" s="6" t="s">
        <v>564</v>
      </c>
      <c r="E107" s="6" t="s">
        <v>40</v>
      </c>
      <c r="F107" s="6" t="s">
        <v>565</v>
      </c>
      <c r="G107" s="6" t="s">
        <v>566</v>
      </c>
      <c r="H107" s="6" t="s">
        <v>43</v>
      </c>
      <c r="I107" s="6" t="s">
        <v>44</v>
      </c>
      <c r="J107" s="6" t="n">
        <f aca="false">IFERROR(INDEX(Lists!$B$2:$B$6,MATCH(I107,Lists!$A$2:$A$6,0)),0)</f>
        <v>2</v>
      </c>
      <c r="K107" s="6" t="s">
        <v>45</v>
      </c>
      <c r="L107" s="6" t="s">
        <v>525</v>
      </c>
      <c r="M107" s="6" t="s">
        <v>191</v>
      </c>
      <c r="N107" s="6" t="s">
        <v>48</v>
      </c>
      <c r="O107" s="6" t="s">
        <v>49</v>
      </c>
      <c r="P107" s="6" t="n">
        <v>106</v>
      </c>
      <c r="Q107" s="6"/>
    </row>
    <row r="108" customFormat="false" ht="35.05" hidden="false" customHeight="false" outlineLevel="0" collapsed="false">
      <c r="A108" s="6" t="s">
        <v>567</v>
      </c>
      <c r="B108" s="6" t="s">
        <v>512</v>
      </c>
      <c r="C108" s="6" t="s">
        <v>513</v>
      </c>
      <c r="D108" s="6" t="s">
        <v>568</v>
      </c>
      <c r="E108" s="6" t="s">
        <v>97</v>
      </c>
      <c r="F108" s="6" t="s">
        <v>569</v>
      </c>
      <c r="G108" s="6" t="s">
        <v>570</v>
      </c>
      <c r="H108" s="6" t="s">
        <v>43</v>
      </c>
      <c r="I108" s="6" t="s">
        <v>44</v>
      </c>
      <c r="J108" s="6" t="n">
        <f aca="false">IFERROR(INDEX(Lists!$B$2:$B$6,MATCH(I108,Lists!$A$2:$A$6,0)),0)</f>
        <v>2</v>
      </c>
      <c r="K108" s="6" t="s">
        <v>45</v>
      </c>
      <c r="L108" s="6" t="s">
        <v>525</v>
      </c>
      <c r="M108" s="6"/>
      <c r="N108" s="6" t="s">
        <v>48</v>
      </c>
      <c r="O108" s="6" t="s">
        <v>49</v>
      </c>
      <c r="P108" s="6" t="n">
        <v>93</v>
      </c>
      <c r="Q108" s="6"/>
    </row>
    <row r="109" customFormat="false" ht="35.05" hidden="false" customHeight="false" outlineLevel="0" collapsed="false">
      <c r="A109" s="6" t="s">
        <v>571</v>
      </c>
      <c r="B109" s="6" t="s">
        <v>512</v>
      </c>
      <c r="C109" s="6" t="s">
        <v>513</v>
      </c>
      <c r="D109" s="6" t="s">
        <v>572</v>
      </c>
      <c r="E109" s="6" t="s">
        <v>54</v>
      </c>
      <c r="F109" s="6" t="s">
        <v>573</v>
      </c>
      <c r="G109" s="6" t="s">
        <v>574</v>
      </c>
      <c r="H109" s="6" t="s">
        <v>43</v>
      </c>
      <c r="I109" s="6" t="s">
        <v>44</v>
      </c>
      <c r="J109" s="6" t="n">
        <f aca="false">IFERROR(INDEX(Lists!$B$2:$B$6,MATCH(I109,Lists!$A$2:$A$6,0)),0)</f>
        <v>2</v>
      </c>
      <c r="K109" s="6" t="s">
        <v>45</v>
      </c>
      <c r="L109" s="6" t="s">
        <v>525</v>
      </c>
      <c r="M109" s="6"/>
      <c r="N109" s="6" t="s">
        <v>48</v>
      </c>
      <c r="O109" s="6" t="s">
        <v>49</v>
      </c>
      <c r="P109" s="6" t="n">
        <v>94</v>
      </c>
      <c r="Q109" s="6"/>
    </row>
    <row r="110" customFormat="false" ht="35.05" hidden="false" customHeight="false" outlineLevel="0" collapsed="false">
      <c r="A110" s="6" t="s">
        <v>575</v>
      </c>
      <c r="B110" s="6" t="s">
        <v>70</v>
      </c>
      <c r="C110" s="6" t="s">
        <v>71</v>
      </c>
      <c r="D110" s="6" t="s">
        <v>576</v>
      </c>
      <c r="E110" s="6" t="s">
        <v>54</v>
      </c>
      <c r="F110" s="6" t="s">
        <v>577</v>
      </c>
      <c r="G110" s="6" t="s">
        <v>578</v>
      </c>
      <c r="H110" s="6" t="s">
        <v>43</v>
      </c>
      <c r="I110" s="6" t="s">
        <v>44</v>
      </c>
      <c r="J110" s="6" t="n">
        <f aca="false">IFERROR(INDEX(Lists!$B$2:$B$6,MATCH(I110,Lists!$A$2:$A$6,0)),0)</f>
        <v>2</v>
      </c>
      <c r="K110" s="6" t="s">
        <v>45</v>
      </c>
      <c r="L110" s="6" t="s">
        <v>525</v>
      </c>
      <c r="M110" s="6"/>
      <c r="N110" s="6" t="s">
        <v>48</v>
      </c>
      <c r="O110" s="6" t="s">
        <v>49</v>
      </c>
      <c r="P110" s="6" t="n">
        <v>100</v>
      </c>
      <c r="Q110" s="6"/>
    </row>
    <row r="111" customFormat="false" ht="35.05" hidden="false" customHeight="false" outlineLevel="0" collapsed="false">
      <c r="A111" s="6" t="s">
        <v>579</v>
      </c>
      <c r="B111" s="6" t="s">
        <v>70</v>
      </c>
      <c r="C111" s="6" t="s">
        <v>71</v>
      </c>
      <c r="D111" s="6" t="s">
        <v>580</v>
      </c>
      <c r="E111" s="6" t="s">
        <v>54</v>
      </c>
      <c r="F111" s="6" t="s">
        <v>581</v>
      </c>
      <c r="G111" s="6" t="s">
        <v>582</v>
      </c>
      <c r="H111" s="6" t="s">
        <v>220</v>
      </c>
      <c r="I111" s="6" t="s">
        <v>44</v>
      </c>
      <c r="J111" s="6" t="n">
        <f aca="false">IFERROR(INDEX(Lists!$B$2:$B$6,MATCH(I111,Lists!$A$2:$A$6,0)),0)</f>
        <v>2</v>
      </c>
      <c r="K111" s="6" t="s">
        <v>45</v>
      </c>
      <c r="L111" s="6" t="s">
        <v>525</v>
      </c>
      <c r="M111" s="6"/>
      <c r="N111" s="6" t="s">
        <v>48</v>
      </c>
      <c r="O111" s="6" t="s">
        <v>49</v>
      </c>
      <c r="P111" s="6" t="n">
        <v>101</v>
      </c>
      <c r="Q111" s="6"/>
    </row>
    <row r="112" customFormat="false" ht="46.25" hidden="false" customHeight="false" outlineLevel="0" collapsed="false">
      <c r="A112" s="6" t="s">
        <v>583</v>
      </c>
      <c r="B112" s="6" t="s">
        <v>160</v>
      </c>
      <c r="C112" s="6" t="s">
        <v>161</v>
      </c>
      <c r="D112" s="6" t="s">
        <v>584</v>
      </c>
      <c r="E112" s="6" t="s">
        <v>40</v>
      </c>
      <c r="F112" s="6" t="s">
        <v>585</v>
      </c>
      <c r="G112" s="6" t="s">
        <v>586</v>
      </c>
      <c r="H112" s="6" t="s">
        <v>587</v>
      </c>
      <c r="I112" s="6" t="s">
        <v>44</v>
      </c>
      <c r="J112" s="6" t="n">
        <f aca="false">IFERROR(INDEX(Lists!$B$2:$B$6,MATCH(I112,Lists!$A$2:$A$6,0)),0)</f>
        <v>2</v>
      </c>
      <c r="K112" s="6" t="s">
        <v>588</v>
      </c>
      <c r="L112" s="6" t="s">
        <v>589</v>
      </c>
      <c r="M112" s="6" t="s">
        <v>237</v>
      </c>
      <c r="N112" s="6" t="s">
        <v>48</v>
      </c>
      <c r="O112" s="6" t="s">
        <v>49</v>
      </c>
      <c r="P112" s="6" t="n">
        <v>111</v>
      </c>
      <c r="Q112" s="6"/>
    </row>
    <row r="113" customFormat="false" ht="79.85" hidden="false" customHeight="false" outlineLevel="0" collapsed="false">
      <c r="A113" s="6" t="s">
        <v>590</v>
      </c>
      <c r="B113" s="6" t="s">
        <v>193</v>
      </c>
      <c r="C113" s="6" t="s">
        <v>194</v>
      </c>
      <c r="D113" s="6" t="s">
        <v>591</v>
      </c>
      <c r="E113" s="6" t="s">
        <v>108</v>
      </c>
      <c r="F113" s="6" t="s">
        <v>592</v>
      </c>
      <c r="G113" s="6" t="s">
        <v>593</v>
      </c>
      <c r="H113" s="6" t="s">
        <v>220</v>
      </c>
      <c r="I113" s="6" t="s">
        <v>44</v>
      </c>
      <c r="J113" s="6" t="n">
        <f aca="false">IFERROR(INDEX(Lists!$B$2:$B$6,MATCH(I113,Lists!$A$2:$A$6,0)),0)</f>
        <v>2</v>
      </c>
      <c r="K113" s="6" t="s">
        <v>588</v>
      </c>
      <c r="L113" s="6" t="s">
        <v>589</v>
      </c>
      <c r="M113" s="6" t="s">
        <v>594</v>
      </c>
      <c r="N113" s="6" t="s">
        <v>48</v>
      </c>
      <c r="O113" s="6" t="s">
        <v>49</v>
      </c>
      <c r="P113" s="6" t="n">
        <v>108</v>
      </c>
      <c r="Q113" s="6"/>
    </row>
    <row r="114" customFormat="false" ht="79.85" hidden="false" customHeight="false" outlineLevel="0" collapsed="false">
      <c r="A114" s="6" t="s">
        <v>595</v>
      </c>
      <c r="B114" s="6" t="s">
        <v>193</v>
      </c>
      <c r="C114" s="6" t="s">
        <v>194</v>
      </c>
      <c r="D114" s="6" t="s">
        <v>596</v>
      </c>
      <c r="E114" s="6" t="s">
        <v>597</v>
      </c>
      <c r="F114" s="6" t="s">
        <v>598</v>
      </c>
      <c r="G114" s="6" t="s">
        <v>599</v>
      </c>
      <c r="H114" s="6" t="s">
        <v>220</v>
      </c>
      <c r="I114" s="6" t="s">
        <v>57</v>
      </c>
      <c r="J114" s="6" t="n">
        <f aca="false">IFERROR(INDEX(Lists!$B$2:$B$6,MATCH(I114,Lists!$A$2:$A$6,0)),0)</f>
        <v>3</v>
      </c>
      <c r="K114" s="6" t="s">
        <v>588</v>
      </c>
      <c r="L114" s="6" t="s">
        <v>589</v>
      </c>
      <c r="M114" s="6" t="s">
        <v>600</v>
      </c>
      <c r="N114" s="6" t="s">
        <v>48</v>
      </c>
      <c r="O114" s="6" t="s">
        <v>49</v>
      </c>
      <c r="P114" s="6" t="n">
        <v>109</v>
      </c>
      <c r="Q114" s="6"/>
    </row>
    <row r="115" customFormat="false" ht="46.25" hidden="false" customHeight="false" outlineLevel="0" collapsed="false">
      <c r="A115" s="6" t="s">
        <v>601</v>
      </c>
      <c r="B115" s="6" t="s">
        <v>193</v>
      </c>
      <c r="C115" s="6" t="s">
        <v>194</v>
      </c>
      <c r="D115" s="6" t="s">
        <v>602</v>
      </c>
      <c r="E115" s="6" t="s">
        <v>40</v>
      </c>
      <c r="F115" s="6" t="s">
        <v>603</v>
      </c>
      <c r="G115" s="6" t="s">
        <v>604</v>
      </c>
      <c r="H115" s="6" t="s">
        <v>587</v>
      </c>
      <c r="I115" s="6" t="s">
        <v>44</v>
      </c>
      <c r="J115" s="6" t="n">
        <f aca="false">IFERROR(INDEX(Lists!$B$2:$B$6,MATCH(I115,Lists!$A$2:$A$6,0)),0)</f>
        <v>2</v>
      </c>
      <c r="K115" s="6" t="s">
        <v>588</v>
      </c>
      <c r="L115" s="6" t="s">
        <v>589</v>
      </c>
      <c r="M115" s="6" t="s">
        <v>600</v>
      </c>
      <c r="N115" s="6" t="s">
        <v>48</v>
      </c>
      <c r="O115" s="6" t="s">
        <v>49</v>
      </c>
      <c r="P115" s="6" t="n">
        <v>110</v>
      </c>
      <c r="Q115" s="6"/>
    </row>
    <row r="116" customFormat="false" ht="113.4" hidden="false" customHeight="false" outlineLevel="0" collapsed="false">
      <c r="A116" s="6" t="s">
        <v>605</v>
      </c>
      <c r="B116" s="6" t="s">
        <v>94</v>
      </c>
      <c r="C116" s="6" t="s">
        <v>95</v>
      </c>
      <c r="D116" s="6" t="s">
        <v>606</v>
      </c>
      <c r="E116" s="6" t="s">
        <v>40</v>
      </c>
      <c r="F116" s="6" t="s">
        <v>607</v>
      </c>
      <c r="G116" s="6" t="s">
        <v>608</v>
      </c>
      <c r="H116" s="6" t="s">
        <v>220</v>
      </c>
      <c r="I116" s="6" t="s">
        <v>57</v>
      </c>
      <c r="J116" s="6" t="n">
        <f aca="false">IFERROR(INDEX(Lists!$B$2:$B$6,MATCH(I116,Lists!$A$2:$A$6,0)),0)</f>
        <v>3</v>
      </c>
      <c r="K116" s="6" t="s">
        <v>588</v>
      </c>
      <c r="L116" s="6" t="s">
        <v>589</v>
      </c>
      <c r="M116" s="6" t="s">
        <v>609</v>
      </c>
      <c r="N116" s="6" t="s">
        <v>48</v>
      </c>
      <c r="O116" s="6" t="s">
        <v>49</v>
      </c>
      <c r="P116" s="6" t="n">
        <v>221</v>
      </c>
      <c r="Q116" s="6"/>
    </row>
    <row r="117" customFormat="false" ht="46.25" hidden="false" customHeight="false" outlineLevel="0" collapsed="false">
      <c r="A117" s="6" t="s">
        <v>610</v>
      </c>
      <c r="B117" s="6" t="s">
        <v>365</v>
      </c>
      <c r="C117" s="6" t="s">
        <v>366</v>
      </c>
      <c r="D117" s="6" t="s">
        <v>611</v>
      </c>
      <c r="E117" s="6" t="s">
        <v>40</v>
      </c>
      <c r="F117" s="6" t="s">
        <v>612</v>
      </c>
      <c r="G117" s="6" t="s">
        <v>613</v>
      </c>
      <c r="H117" s="6" t="s">
        <v>220</v>
      </c>
      <c r="I117" s="6" t="s">
        <v>44</v>
      </c>
      <c r="J117" s="6" t="n">
        <f aca="false">IFERROR(INDEX(Lists!$B$2:$B$6,MATCH(I117,Lists!$A$2:$A$6,0)),0)</f>
        <v>2</v>
      </c>
      <c r="K117" s="6" t="s">
        <v>588</v>
      </c>
      <c r="L117" s="6" t="s">
        <v>589</v>
      </c>
      <c r="M117" s="6" t="s">
        <v>191</v>
      </c>
      <c r="N117" s="6" t="s">
        <v>48</v>
      </c>
      <c r="O117" s="6" t="s">
        <v>49</v>
      </c>
      <c r="P117" s="6" t="n">
        <v>107</v>
      </c>
      <c r="Q117" s="6"/>
    </row>
    <row r="118" customFormat="false" ht="35.05" hidden="false" customHeight="false" outlineLevel="0" collapsed="false">
      <c r="A118" s="6" t="s">
        <v>614</v>
      </c>
      <c r="B118" s="6" t="s">
        <v>223</v>
      </c>
      <c r="C118" s="6" t="s">
        <v>224</v>
      </c>
      <c r="D118" s="6" t="s">
        <v>615</v>
      </c>
      <c r="E118" s="6" t="s">
        <v>40</v>
      </c>
      <c r="F118" s="6" t="s">
        <v>616</v>
      </c>
      <c r="G118" s="6" t="s">
        <v>617</v>
      </c>
      <c r="H118" s="6" t="s">
        <v>587</v>
      </c>
      <c r="I118" s="6" t="s">
        <v>44</v>
      </c>
      <c r="J118" s="6" t="n">
        <f aca="false">IFERROR(INDEX(Lists!$B$2:$B$6,MATCH(I118,Lists!$A$2:$A$6,0)),0)</f>
        <v>2</v>
      </c>
      <c r="K118" s="6" t="s">
        <v>588</v>
      </c>
      <c r="L118" s="6" t="s">
        <v>589</v>
      </c>
      <c r="M118" s="6" t="s">
        <v>618</v>
      </c>
      <c r="N118" s="6" t="s">
        <v>48</v>
      </c>
      <c r="O118" s="6" t="s">
        <v>49</v>
      </c>
      <c r="P118" s="6" t="n">
        <v>113</v>
      </c>
      <c r="Q118" s="6"/>
    </row>
    <row r="119" customFormat="false" ht="46.25" hidden="false" customHeight="false" outlineLevel="0" collapsed="false">
      <c r="A119" s="6" t="s">
        <v>619</v>
      </c>
      <c r="B119" s="6" t="s">
        <v>70</v>
      </c>
      <c r="C119" s="6" t="s">
        <v>71</v>
      </c>
      <c r="D119" s="6" t="s">
        <v>620</v>
      </c>
      <c r="E119" s="6" t="s">
        <v>54</v>
      </c>
      <c r="F119" s="6" t="s">
        <v>621</v>
      </c>
      <c r="G119" s="6" t="s">
        <v>622</v>
      </c>
      <c r="H119" s="6" t="s">
        <v>220</v>
      </c>
      <c r="I119" s="6" t="s">
        <v>57</v>
      </c>
      <c r="J119" s="6" t="n">
        <f aca="false">IFERROR(INDEX(Lists!$B$2:$B$6,MATCH(I119,Lists!$A$2:$A$6,0)),0)</f>
        <v>3</v>
      </c>
      <c r="K119" s="6" t="s">
        <v>588</v>
      </c>
      <c r="L119" s="6" t="s">
        <v>589</v>
      </c>
      <c r="M119" s="6"/>
      <c r="N119" s="6" t="s">
        <v>48</v>
      </c>
      <c r="O119" s="6" t="s">
        <v>49</v>
      </c>
      <c r="P119" s="6" t="n">
        <v>112</v>
      </c>
      <c r="Q119" s="6"/>
    </row>
    <row r="120" customFormat="false" ht="79.85" hidden="false" customHeight="false" outlineLevel="0" collapsed="false">
      <c r="A120" s="6" t="s">
        <v>623</v>
      </c>
      <c r="B120" s="6" t="s">
        <v>624</v>
      </c>
      <c r="C120" s="6" t="s">
        <v>625</v>
      </c>
      <c r="D120" s="6" t="s">
        <v>626</v>
      </c>
      <c r="E120" s="6" t="s">
        <v>40</v>
      </c>
      <c r="F120" s="6" t="s">
        <v>627</v>
      </c>
      <c r="G120" s="6" t="s">
        <v>628</v>
      </c>
      <c r="H120" s="6" t="s">
        <v>220</v>
      </c>
      <c r="I120" s="6" t="s">
        <v>57</v>
      </c>
      <c r="J120" s="6" t="n">
        <f aca="false">IFERROR(INDEX(Lists!$B$2:$B$6,MATCH(I120,Lists!$A$2:$A$6,0)),0)</f>
        <v>3</v>
      </c>
      <c r="K120" s="6" t="s">
        <v>588</v>
      </c>
      <c r="L120" s="6" t="s">
        <v>589</v>
      </c>
      <c r="M120" s="6" t="s">
        <v>629</v>
      </c>
      <c r="N120" s="6" t="s">
        <v>48</v>
      </c>
      <c r="O120" s="6" t="s">
        <v>49</v>
      </c>
      <c r="P120" s="6" t="n">
        <v>219</v>
      </c>
      <c r="Q120" s="6"/>
    </row>
    <row r="121" customFormat="false" ht="79.85" hidden="false" customHeight="false" outlineLevel="0" collapsed="false">
      <c r="A121" s="6" t="s">
        <v>630</v>
      </c>
      <c r="B121" s="6" t="s">
        <v>624</v>
      </c>
      <c r="C121" s="6" t="s">
        <v>625</v>
      </c>
      <c r="D121" s="6" t="s">
        <v>631</v>
      </c>
      <c r="E121" s="6" t="s">
        <v>40</v>
      </c>
      <c r="F121" s="6" t="s">
        <v>632</v>
      </c>
      <c r="G121" s="6" t="s">
        <v>633</v>
      </c>
      <c r="H121" s="6" t="s">
        <v>220</v>
      </c>
      <c r="I121" s="6" t="s">
        <v>44</v>
      </c>
      <c r="J121" s="6" t="n">
        <f aca="false">IFERROR(INDEX(Lists!$B$2:$B$6,MATCH(I121,Lists!$A$2:$A$6,0)),0)</f>
        <v>2</v>
      </c>
      <c r="K121" s="6" t="s">
        <v>588</v>
      </c>
      <c r="L121" s="6" t="s">
        <v>589</v>
      </c>
      <c r="M121" s="6" t="s">
        <v>629</v>
      </c>
      <c r="N121" s="6" t="s">
        <v>48</v>
      </c>
      <c r="O121" s="6" t="s">
        <v>49</v>
      </c>
      <c r="P121" s="6" t="n">
        <v>220</v>
      </c>
      <c r="Q121" s="6"/>
    </row>
    <row r="122" customFormat="false" ht="79.85" hidden="false" customHeight="false" outlineLevel="0" collapsed="false">
      <c r="A122" s="6" t="s">
        <v>634</v>
      </c>
      <c r="B122" s="6" t="s">
        <v>160</v>
      </c>
      <c r="C122" s="6" t="s">
        <v>161</v>
      </c>
      <c r="D122" s="6" t="s">
        <v>635</v>
      </c>
      <c r="E122" s="6" t="s">
        <v>400</v>
      </c>
      <c r="F122" s="6" t="s">
        <v>636</v>
      </c>
      <c r="G122" s="6" t="s">
        <v>637</v>
      </c>
      <c r="H122" s="6" t="s">
        <v>43</v>
      </c>
      <c r="I122" s="6" t="s">
        <v>57</v>
      </c>
      <c r="J122" s="6" t="n">
        <f aca="false">IFERROR(INDEX(Lists!$B$2:$B$6,MATCH(I122,Lists!$A$2:$A$6,0)),0)</f>
        <v>3</v>
      </c>
      <c r="K122" s="6" t="s">
        <v>588</v>
      </c>
      <c r="L122" s="6" t="s">
        <v>638</v>
      </c>
      <c r="M122" s="6" t="s">
        <v>639</v>
      </c>
      <c r="N122" s="6" t="s">
        <v>48</v>
      </c>
      <c r="O122" s="6" t="s">
        <v>49</v>
      </c>
      <c r="P122" s="6" t="n">
        <v>120</v>
      </c>
      <c r="Q122" s="6"/>
    </row>
    <row r="123" customFormat="false" ht="35.05" hidden="false" customHeight="false" outlineLevel="0" collapsed="false">
      <c r="A123" s="6" t="s">
        <v>640</v>
      </c>
      <c r="B123" s="6" t="s">
        <v>223</v>
      </c>
      <c r="C123" s="6" t="s">
        <v>224</v>
      </c>
      <c r="D123" s="6" t="s">
        <v>641</v>
      </c>
      <c r="E123" s="6" t="s">
        <v>40</v>
      </c>
      <c r="F123" s="6" t="s">
        <v>642</v>
      </c>
      <c r="G123" s="6" t="s">
        <v>643</v>
      </c>
      <c r="H123" s="6" t="s">
        <v>43</v>
      </c>
      <c r="I123" s="6" t="s">
        <v>44</v>
      </c>
      <c r="J123" s="6" t="n">
        <f aca="false">IFERROR(INDEX(Lists!$B$2:$B$6,MATCH(I123,Lists!$A$2:$A$6,0)),0)</f>
        <v>2</v>
      </c>
      <c r="K123" s="6" t="s">
        <v>588</v>
      </c>
      <c r="L123" s="6" t="s">
        <v>638</v>
      </c>
      <c r="M123" s="6" t="s">
        <v>644</v>
      </c>
      <c r="N123" s="6" t="s">
        <v>48</v>
      </c>
      <c r="O123" s="6" t="s">
        <v>49</v>
      </c>
      <c r="P123" s="6" t="n">
        <v>121</v>
      </c>
      <c r="Q123" s="6"/>
    </row>
    <row r="124" customFormat="false" ht="35.05" hidden="false" customHeight="false" outlineLevel="0" collapsed="false">
      <c r="A124" s="6" t="s">
        <v>645</v>
      </c>
      <c r="B124" s="6" t="s">
        <v>646</v>
      </c>
      <c r="C124" s="6" t="s">
        <v>647</v>
      </c>
      <c r="D124" s="6" t="s">
        <v>648</v>
      </c>
      <c r="E124" s="6" t="s">
        <v>400</v>
      </c>
      <c r="F124" s="6" t="s">
        <v>649</v>
      </c>
      <c r="G124" s="6" t="s">
        <v>650</v>
      </c>
      <c r="H124" s="6" t="s">
        <v>43</v>
      </c>
      <c r="I124" s="6" t="s">
        <v>44</v>
      </c>
      <c r="J124" s="6" t="n">
        <f aca="false">IFERROR(INDEX(Lists!$B$2:$B$6,MATCH(I124,Lists!$A$2:$A$6,0)),0)</f>
        <v>2</v>
      </c>
      <c r="K124" s="6" t="s">
        <v>588</v>
      </c>
      <c r="L124" s="6" t="s">
        <v>638</v>
      </c>
      <c r="M124" s="6" t="s">
        <v>651</v>
      </c>
      <c r="N124" s="6" t="s">
        <v>48</v>
      </c>
      <c r="O124" s="6" t="s">
        <v>49</v>
      </c>
      <c r="P124" s="6" t="n">
        <v>114</v>
      </c>
      <c r="Q124" s="6"/>
    </row>
    <row r="125" customFormat="false" ht="79.85" hidden="false" customHeight="false" outlineLevel="0" collapsed="false">
      <c r="A125" s="6" t="s">
        <v>652</v>
      </c>
      <c r="B125" s="6" t="s">
        <v>646</v>
      </c>
      <c r="C125" s="6" t="s">
        <v>647</v>
      </c>
      <c r="D125" s="6" t="s">
        <v>653</v>
      </c>
      <c r="E125" s="6" t="s">
        <v>400</v>
      </c>
      <c r="F125" s="6" t="s">
        <v>654</v>
      </c>
      <c r="G125" s="6" t="s">
        <v>655</v>
      </c>
      <c r="H125" s="6" t="s">
        <v>43</v>
      </c>
      <c r="I125" s="6" t="s">
        <v>57</v>
      </c>
      <c r="J125" s="6" t="n">
        <f aca="false">IFERROR(INDEX(Lists!$B$2:$B$6,MATCH(I125,Lists!$A$2:$A$6,0)),0)</f>
        <v>3</v>
      </c>
      <c r="K125" s="6" t="s">
        <v>588</v>
      </c>
      <c r="L125" s="6" t="s">
        <v>638</v>
      </c>
      <c r="M125" s="6" t="s">
        <v>656</v>
      </c>
      <c r="N125" s="6" t="s">
        <v>48</v>
      </c>
      <c r="O125" s="6" t="s">
        <v>49</v>
      </c>
      <c r="P125" s="6" t="n">
        <v>115</v>
      </c>
      <c r="Q125" s="6"/>
    </row>
    <row r="126" customFormat="false" ht="46.25" hidden="false" customHeight="false" outlineLevel="0" collapsed="false">
      <c r="A126" s="6" t="s">
        <v>657</v>
      </c>
      <c r="B126" s="6" t="s">
        <v>646</v>
      </c>
      <c r="C126" s="6" t="s">
        <v>647</v>
      </c>
      <c r="D126" s="6" t="s">
        <v>658</v>
      </c>
      <c r="E126" s="6" t="s">
        <v>400</v>
      </c>
      <c r="F126" s="6" t="s">
        <v>659</v>
      </c>
      <c r="G126" s="6" t="s">
        <v>660</v>
      </c>
      <c r="H126" s="6" t="s">
        <v>220</v>
      </c>
      <c r="I126" s="6" t="s">
        <v>44</v>
      </c>
      <c r="J126" s="6" t="n">
        <f aca="false">IFERROR(INDEX(Lists!$B$2:$B$6,MATCH(I126,Lists!$A$2:$A$6,0)),0)</f>
        <v>2</v>
      </c>
      <c r="K126" s="6" t="s">
        <v>588</v>
      </c>
      <c r="L126" s="6" t="s">
        <v>638</v>
      </c>
      <c r="M126" s="6" t="s">
        <v>656</v>
      </c>
      <c r="N126" s="6" t="s">
        <v>48</v>
      </c>
      <c r="O126" s="6" t="s">
        <v>49</v>
      </c>
      <c r="P126" s="6" t="n">
        <v>116</v>
      </c>
      <c r="Q126" s="6"/>
    </row>
    <row r="127" customFormat="false" ht="79.85" hidden="false" customHeight="false" outlineLevel="0" collapsed="false">
      <c r="A127" s="6" t="s">
        <v>661</v>
      </c>
      <c r="B127" s="6" t="s">
        <v>646</v>
      </c>
      <c r="C127" s="6" t="s">
        <v>647</v>
      </c>
      <c r="D127" s="6" t="s">
        <v>662</v>
      </c>
      <c r="E127" s="6" t="s">
        <v>40</v>
      </c>
      <c r="F127" s="6" t="s">
        <v>663</v>
      </c>
      <c r="G127" s="6" t="s">
        <v>664</v>
      </c>
      <c r="H127" s="6" t="s">
        <v>43</v>
      </c>
      <c r="I127" s="6" t="s">
        <v>57</v>
      </c>
      <c r="J127" s="6" t="n">
        <f aca="false">IFERROR(INDEX(Lists!$B$2:$B$6,MATCH(I127,Lists!$A$2:$A$6,0)),0)</f>
        <v>3</v>
      </c>
      <c r="K127" s="6" t="s">
        <v>588</v>
      </c>
      <c r="L127" s="6" t="s">
        <v>638</v>
      </c>
      <c r="M127" s="6" t="s">
        <v>665</v>
      </c>
      <c r="N127" s="6" t="s">
        <v>48</v>
      </c>
      <c r="O127" s="6" t="s">
        <v>49</v>
      </c>
      <c r="P127" s="6" t="n">
        <v>117</v>
      </c>
      <c r="Q127" s="6"/>
    </row>
    <row r="128" customFormat="false" ht="68.65" hidden="false" customHeight="false" outlineLevel="0" collapsed="false">
      <c r="A128" s="6" t="s">
        <v>666</v>
      </c>
      <c r="B128" s="6" t="s">
        <v>646</v>
      </c>
      <c r="C128" s="6" t="s">
        <v>647</v>
      </c>
      <c r="D128" s="6" t="s">
        <v>667</v>
      </c>
      <c r="E128" s="6" t="s">
        <v>40</v>
      </c>
      <c r="F128" s="6" t="s">
        <v>668</v>
      </c>
      <c r="G128" s="6" t="s">
        <v>669</v>
      </c>
      <c r="H128" s="6" t="s">
        <v>43</v>
      </c>
      <c r="I128" s="6" t="s">
        <v>57</v>
      </c>
      <c r="J128" s="6" t="n">
        <f aca="false">IFERROR(INDEX(Lists!$B$2:$B$6,MATCH(I128,Lists!$A$2:$A$6,0)),0)</f>
        <v>3</v>
      </c>
      <c r="K128" s="6" t="s">
        <v>588</v>
      </c>
      <c r="L128" s="6" t="s">
        <v>638</v>
      </c>
      <c r="M128" s="6" t="s">
        <v>670</v>
      </c>
      <c r="N128" s="6" t="s">
        <v>48</v>
      </c>
      <c r="O128" s="6" t="s">
        <v>49</v>
      </c>
      <c r="P128" s="6" t="n">
        <v>118</v>
      </c>
      <c r="Q128" s="6"/>
    </row>
    <row r="129" customFormat="false" ht="46.25" hidden="false" customHeight="false" outlineLevel="0" collapsed="false">
      <c r="A129" s="6" t="s">
        <v>671</v>
      </c>
      <c r="B129" s="6" t="s">
        <v>646</v>
      </c>
      <c r="C129" s="6" t="s">
        <v>647</v>
      </c>
      <c r="D129" s="6" t="s">
        <v>672</v>
      </c>
      <c r="E129" s="6" t="s">
        <v>400</v>
      </c>
      <c r="F129" s="6" t="s">
        <v>673</v>
      </c>
      <c r="G129" s="6" t="s">
        <v>674</v>
      </c>
      <c r="H129" s="6" t="s">
        <v>43</v>
      </c>
      <c r="I129" s="6" t="s">
        <v>57</v>
      </c>
      <c r="J129" s="6" t="n">
        <f aca="false">IFERROR(INDEX(Lists!$B$2:$B$6,MATCH(I129,Lists!$A$2:$A$6,0)),0)</f>
        <v>3</v>
      </c>
      <c r="K129" s="6" t="s">
        <v>588</v>
      </c>
      <c r="L129" s="6" t="s">
        <v>638</v>
      </c>
      <c r="M129" s="6" t="s">
        <v>656</v>
      </c>
      <c r="N129" s="6" t="s">
        <v>48</v>
      </c>
      <c r="O129" s="6" t="s">
        <v>49</v>
      </c>
      <c r="P129" s="6" t="n">
        <v>119</v>
      </c>
      <c r="Q129" s="6"/>
    </row>
    <row r="130" customFormat="false" ht="46.25" hidden="false" customHeight="false" outlineLevel="0" collapsed="false">
      <c r="A130" s="6" t="s">
        <v>675</v>
      </c>
      <c r="B130" s="6" t="s">
        <v>624</v>
      </c>
      <c r="C130" s="6" t="s">
        <v>625</v>
      </c>
      <c r="D130" s="6" t="s">
        <v>676</v>
      </c>
      <c r="E130" s="6" t="s">
        <v>400</v>
      </c>
      <c r="F130" s="6" t="s">
        <v>677</v>
      </c>
      <c r="G130" s="6" t="s">
        <v>678</v>
      </c>
      <c r="H130" s="6" t="s">
        <v>587</v>
      </c>
      <c r="I130" s="6" t="s">
        <v>44</v>
      </c>
      <c r="J130" s="6" t="n">
        <f aca="false">IFERROR(INDEX(Lists!$B$2:$B$6,MATCH(I130,Lists!$A$2:$A$6,0)),0)</f>
        <v>2</v>
      </c>
      <c r="K130" s="6" t="s">
        <v>588</v>
      </c>
      <c r="L130" s="6" t="s">
        <v>638</v>
      </c>
      <c r="M130" s="6" t="s">
        <v>679</v>
      </c>
      <c r="N130" s="6" t="s">
        <v>48</v>
      </c>
      <c r="O130" s="6" t="s">
        <v>49</v>
      </c>
      <c r="P130" s="6" t="n">
        <v>222</v>
      </c>
      <c r="Q130" s="6"/>
    </row>
    <row r="131" customFormat="false" ht="79.85" hidden="false" customHeight="false" outlineLevel="0" collapsed="false">
      <c r="A131" s="6" t="s">
        <v>680</v>
      </c>
      <c r="B131" s="6" t="s">
        <v>392</v>
      </c>
      <c r="C131" s="6" t="s">
        <v>393</v>
      </c>
      <c r="D131" s="6" t="s">
        <v>681</v>
      </c>
      <c r="E131" s="6" t="s">
        <v>400</v>
      </c>
      <c r="F131" s="6" t="s">
        <v>682</v>
      </c>
      <c r="G131" s="6" t="s">
        <v>683</v>
      </c>
      <c r="H131" s="6" t="s">
        <v>220</v>
      </c>
      <c r="I131" s="6" t="s">
        <v>214</v>
      </c>
      <c r="J131" s="6" t="n">
        <f aca="false">IFERROR(INDEX(Lists!$B$2:$B$6,MATCH(I131,Lists!$A$2:$A$6,0)),0)</f>
        <v>5</v>
      </c>
      <c r="K131" s="6" t="s">
        <v>588</v>
      </c>
      <c r="L131" s="6" t="s">
        <v>684</v>
      </c>
      <c r="M131" s="6" t="s">
        <v>407</v>
      </c>
      <c r="N131" s="6" t="s">
        <v>48</v>
      </c>
      <c r="O131" s="6" t="s">
        <v>49</v>
      </c>
      <c r="P131" s="6" t="n">
        <v>126</v>
      </c>
      <c r="Q131" s="6"/>
    </row>
    <row r="132" customFormat="false" ht="35.05" hidden="false" customHeight="false" outlineLevel="0" collapsed="false">
      <c r="A132" s="6" t="s">
        <v>685</v>
      </c>
      <c r="B132" s="6" t="s">
        <v>392</v>
      </c>
      <c r="C132" s="6" t="s">
        <v>393</v>
      </c>
      <c r="D132" s="6" t="s">
        <v>686</v>
      </c>
      <c r="E132" s="6" t="s">
        <v>400</v>
      </c>
      <c r="F132" s="6" t="s">
        <v>687</v>
      </c>
      <c r="G132" s="6" t="s">
        <v>688</v>
      </c>
      <c r="H132" s="6" t="s">
        <v>220</v>
      </c>
      <c r="I132" s="6" t="s">
        <v>57</v>
      </c>
      <c r="J132" s="6" t="n">
        <f aca="false">IFERROR(INDEX(Lists!$B$2:$B$6,MATCH(I132,Lists!$A$2:$A$6,0)),0)</f>
        <v>3</v>
      </c>
      <c r="K132" s="6" t="s">
        <v>588</v>
      </c>
      <c r="L132" s="6" t="s">
        <v>684</v>
      </c>
      <c r="M132" s="6" t="s">
        <v>421</v>
      </c>
      <c r="N132" s="6" t="s">
        <v>48</v>
      </c>
      <c r="O132" s="6" t="s">
        <v>49</v>
      </c>
      <c r="P132" s="6" t="n">
        <v>127</v>
      </c>
      <c r="Q132" s="6"/>
    </row>
    <row r="133" customFormat="false" ht="35.05" hidden="false" customHeight="false" outlineLevel="0" collapsed="false">
      <c r="A133" s="6" t="s">
        <v>689</v>
      </c>
      <c r="B133" s="6" t="s">
        <v>392</v>
      </c>
      <c r="C133" s="6" t="s">
        <v>393</v>
      </c>
      <c r="D133" s="6" t="s">
        <v>690</v>
      </c>
      <c r="E133" s="6" t="s">
        <v>400</v>
      </c>
      <c r="F133" s="6" t="s">
        <v>691</v>
      </c>
      <c r="G133" s="6" t="s">
        <v>692</v>
      </c>
      <c r="H133" s="6" t="s">
        <v>220</v>
      </c>
      <c r="I133" s="6" t="s">
        <v>57</v>
      </c>
      <c r="J133" s="6" t="n">
        <f aca="false">IFERROR(INDEX(Lists!$B$2:$B$6,MATCH(I133,Lists!$A$2:$A$6,0)),0)</f>
        <v>3</v>
      </c>
      <c r="K133" s="6" t="s">
        <v>588</v>
      </c>
      <c r="L133" s="6" t="s">
        <v>684</v>
      </c>
      <c r="M133" s="6" t="s">
        <v>693</v>
      </c>
      <c r="N133" s="6" t="s">
        <v>48</v>
      </c>
      <c r="O133" s="6" t="s">
        <v>49</v>
      </c>
      <c r="P133" s="6" t="n">
        <v>128</v>
      </c>
      <c r="Q133" s="6"/>
    </row>
    <row r="134" customFormat="false" ht="35.05" hidden="false" customHeight="false" outlineLevel="0" collapsed="false">
      <c r="A134" s="6" t="s">
        <v>694</v>
      </c>
      <c r="B134" s="6" t="s">
        <v>646</v>
      </c>
      <c r="C134" s="6" t="s">
        <v>647</v>
      </c>
      <c r="D134" s="6" t="s">
        <v>695</v>
      </c>
      <c r="E134" s="6" t="s">
        <v>400</v>
      </c>
      <c r="F134" s="6" t="s">
        <v>696</v>
      </c>
      <c r="G134" s="6" t="s">
        <v>697</v>
      </c>
      <c r="H134" s="6" t="s">
        <v>220</v>
      </c>
      <c r="I134" s="6" t="s">
        <v>44</v>
      </c>
      <c r="J134" s="6" t="n">
        <f aca="false">IFERROR(INDEX(Lists!$B$2:$B$6,MATCH(I134,Lists!$A$2:$A$6,0)),0)</f>
        <v>2</v>
      </c>
      <c r="K134" s="6" t="s">
        <v>588</v>
      </c>
      <c r="L134" s="6" t="s">
        <v>684</v>
      </c>
      <c r="M134" s="6" t="s">
        <v>656</v>
      </c>
      <c r="N134" s="6" t="s">
        <v>48</v>
      </c>
      <c r="O134" s="6" t="s">
        <v>49</v>
      </c>
      <c r="P134" s="6" t="n">
        <v>129</v>
      </c>
      <c r="Q134" s="6"/>
    </row>
    <row r="135" customFormat="false" ht="68.65" hidden="false" customHeight="false" outlineLevel="0" collapsed="false">
      <c r="A135" s="6" t="s">
        <v>698</v>
      </c>
      <c r="B135" s="6" t="s">
        <v>699</v>
      </c>
      <c r="C135" s="6" t="s">
        <v>700</v>
      </c>
      <c r="D135" s="6" t="s">
        <v>701</v>
      </c>
      <c r="E135" s="6" t="s">
        <v>400</v>
      </c>
      <c r="F135" s="6" t="s">
        <v>702</v>
      </c>
      <c r="G135" s="6" t="s">
        <v>703</v>
      </c>
      <c r="H135" s="6" t="s">
        <v>43</v>
      </c>
      <c r="I135" s="6" t="s">
        <v>57</v>
      </c>
      <c r="J135" s="6" t="n">
        <f aca="false">IFERROR(INDEX(Lists!$B$2:$B$6,MATCH(I135,Lists!$A$2:$A$6,0)),0)</f>
        <v>3</v>
      </c>
      <c r="K135" s="6" t="s">
        <v>588</v>
      </c>
      <c r="L135" s="6" t="s">
        <v>684</v>
      </c>
      <c r="M135" s="6" t="s">
        <v>704</v>
      </c>
      <c r="N135" s="6" t="s">
        <v>48</v>
      </c>
      <c r="O135" s="6" t="s">
        <v>49</v>
      </c>
      <c r="P135" s="6" t="n">
        <v>122</v>
      </c>
      <c r="Q135" s="6"/>
    </row>
    <row r="136" customFormat="false" ht="79.85" hidden="false" customHeight="false" outlineLevel="0" collapsed="false">
      <c r="A136" s="6" t="s">
        <v>705</v>
      </c>
      <c r="B136" s="6" t="s">
        <v>699</v>
      </c>
      <c r="C136" s="6" t="s">
        <v>700</v>
      </c>
      <c r="D136" s="6" t="s">
        <v>706</v>
      </c>
      <c r="E136" s="6" t="s">
        <v>400</v>
      </c>
      <c r="F136" s="6" t="s">
        <v>707</v>
      </c>
      <c r="G136" s="6" t="s">
        <v>708</v>
      </c>
      <c r="H136" s="6" t="s">
        <v>43</v>
      </c>
      <c r="I136" s="6" t="s">
        <v>57</v>
      </c>
      <c r="J136" s="6" t="n">
        <f aca="false">IFERROR(INDEX(Lists!$B$2:$B$6,MATCH(I136,Lists!$A$2:$A$6,0)),0)</f>
        <v>3</v>
      </c>
      <c r="K136" s="6" t="s">
        <v>588</v>
      </c>
      <c r="L136" s="6" t="s">
        <v>684</v>
      </c>
      <c r="M136" s="6" t="s">
        <v>709</v>
      </c>
      <c r="N136" s="6" t="s">
        <v>48</v>
      </c>
      <c r="O136" s="6" t="s">
        <v>49</v>
      </c>
      <c r="P136" s="6" t="n">
        <v>123</v>
      </c>
      <c r="Q136" s="6"/>
    </row>
    <row r="137" customFormat="false" ht="46.25" hidden="false" customHeight="false" outlineLevel="0" collapsed="false">
      <c r="A137" s="6" t="s">
        <v>710</v>
      </c>
      <c r="B137" s="6" t="s">
        <v>699</v>
      </c>
      <c r="C137" s="6" t="s">
        <v>700</v>
      </c>
      <c r="D137" s="6" t="s">
        <v>711</v>
      </c>
      <c r="E137" s="6" t="s">
        <v>400</v>
      </c>
      <c r="F137" s="6" t="s">
        <v>712</v>
      </c>
      <c r="G137" s="6" t="s">
        <v>713</v>
      </c>
      <c r="H137" s="6" t="s">
        <v>220</v>
      </c>
      <c r="I137" s="6" t="s">
        <v>44</v>
      </c>
      <c r="J137" s="6" t="n">
        <f aca="false">IFERROR(INDEX(Lists!$B$2:$B$6,MATCH(I137,Lists!$A$2:$A$6,0)),0)</f>
        <v>2</v>
      </c>
      <c r="K137" s="6" t="s">
        <v>588</v>
      </c>
      <c r="L137" s="6" t="s">
        <v>684</v>
      </c>
      <c r="M137" s="6" t="s">
        <v>709</v>
      </c>
      <c r="N137" s="6" t="s">
        <v>48</v>
      </c>
      <c r="O137" s="6" t="s">
        <v>49</v>
      </c>
      <c r="P137" s="6" t="n">
        <v>124</v>
      </c>
      <c r="Q137" s="6"/>
    </row>
    <row r="138" customFormat="false" ht="35.05" hidden="false" customHeight="false" outlineLevel="0" collapsed="false">
      <c r="A138" s="6" t="s">
        <v>714</v>
      </c>
      <c r="B138" s="6" t="s">
        <v>699</v>
      </c>
      <c r="C138" s="6" t="s">
        <v>700</v>
      </c>
      <c r="D138" s="6" t="s">
        <v>715</v>
      </c>
      <c r="E138" s="6" t="s">
        <v>400</v>
      </c>
      <c r="F138" s="6" t="s">
        <v>716</v>
      </c>
      <c r="G138" s="6" t="s">
        <v>717</v>
      </c>
      <c r="H138" s="6" t="s">
        <v>220</v>
      </c>
      <c r="I138" s="6" t="s">
        <v>44</v>
      </c>
      <c r="J138" s="6" t="n">
        <f aca="false">IFERROR(INDEX(Lists!$B$2:$B$6,MATCH(I138,Lists!$A$2:$A$6,0)),0)</f>
        <v>2</v>
      </c>
      <c r="K138" s="6" t="s">
        <v>588</v>
      </c>
      <c r="L138" s="6" t="s">
        <v>684</v>
      </c>
      <c r="M138" s="6" t="s">
        <v>709</v>
      </c>
      <c r="N138" s="6" t="s">
        <v>48</v>
      </c>
      <c r="O138" s="6" t="s">
        <v>49</v>
      </c>
      <c r="P138" s="6" t="n">
        <v>125</v>
      </c>
      <c r="Q138" s="6"/>
    </row>
    <row r="139" customFormat="false" ht="35.05" hidden="false" customHeight="false" outlineLevel="0" collapsed="false">
      <c r="A139" s="6" t="s">
        <v>718</v>
      </c>
      <c r="B139" s="6" t="s">
        <v>719</v>
      </c>
      <c r="C139" s="6" t="s">
        <v>720</v>
      </c>
      <c r="D139" s="6" t="s">
        <v>721</v>
      </c>
      <c r="E139" s="6" t="s">
        <v>400</v>
      </c>
      <c r="F139" s="6" t="s">
        <v>722</v>
      </c>
      <c r="G139" s="6" t="s">
        <v>723</v>
      </c>
      <c r="H139" s="6" t="s">
        <v>43</v>
      </c>
      <c r="I139" s="6" t="s">
        <v>57</v>
      </c>
      <c r="J139" s="6" t="n">
        <f aca="false">IFERROR(INDEX(Lists!$B$2:$B$6,MATCH(I139,Lists!$A$2:$A$6,0)),0)</f>
        <v>3</v>
      </c>
      <c r="K139" s="6" t="s">
        <v>588</v>
      </c>
      <c r="L139" s="6" t="s">
        <v>684</v>
      </c>
      <c r="M139" s="6" t="s">
        <v>724</v>
      </c>
      <c r="N139" s="6" t="s">
        <v>48</v>
      </c>
      <c r="O139" s="6" t="s">
        <v>49</v>
      </c>
      <c r="P139" s="6" t="n">
        <v>130</v>
      </c>
      <c r="Q139" s="6"/>
    </row>
    <row r="140" customFormat="false" ht="68.65" hidden="false" customHeight="false" outlineLevel="0" collapsed="false">
      <c r="A140" s="6" t="s">
        <v>725</v>
      </c>
      <c r="B140" s="6" t="s">
        <v>719</v>
      </c>
      <c r="C140" s="6" t="s">
        <v>720</v>
      </c>
      <c r="D140" s="6" t="s">
        <v>726</v>
      </c>
      <c r="E140" s="6" t="s">
        <v>108</v>
      </c>
      <c r="F140" s="6" t="s">
        <v>727</v>
      </c>
      <c r="G140" s="6" t="s">
        <v>728</v>
      </c>
      <c r="H140" s="6" t="s">
        <v>43</v>
      </c>
      <c r="I140" s="6" t="s">
        <v>57</v>
      </c>
      <c r="J140" s="6" t="n">
        <f aca="false">IFERROR(INDEX(Lists!$B$2:$B$6,MATCH(I140,Lists!$A$2:$A$6,0)),0)</f>
        <v>3</v>
      </c>
      <c r="K140" s="6" t="s">
        <v>588</v>
      </c>
      <c r="L140" s="6" t="s">
        <v>684</v>
      </c>
      <c r="M140" s="6" t="s">
        <v>594</v>
      </c>
      <c r="N140" s="6" t="s">
        <v>48</v>
      </c>
      <c r="O140" s="6" t="s">
        <v>49</v>
      </c>
      <c r="P140" s="6" t="n">
        <v>131</v>
      </c>
      <c r="Q140" s="6"/>
    </row>
    <row r="141" customFormat="false" ht="35.05" hidden="false" customHeight="false" outlineLevel="0" collapsed="false">
      <c r="A141" s="6" t="s">
        <v>729</v>
      </c>
      <c r="B141" s="6" t="s">
        <v>719</v>
      </c>
      <c r="C141" s="6" t="s">
        <v>720</v>
      </c>
      <c r="D141" s="6" t="s">
        <v>730</v>
      </c>
      <c r="E141" s="6" t="s">
        <v>400</v>
      </c>
      <c r="F141" s="6" t="s">
        <v>731</v>
      </c>
      <c r="G141" s="6" t="s">
        <v>732</v>
      </c>
      <c r="H141" s="6" t="s">
        <v>43</v>
      </c>
      <c r="I141" s="6" t="s">
        <v>44</v>
      </c>
      <c r="J141" s="6" t="n">
        <f aca="false">IFERROR(INDEX(Lists!$B$2:$B$6,MATCH(I141,Lists!$A$2:$A$6,0)),0)</f>
        <v>2</v>
      </c>
      <c r="K141" s="6" t="s">
        <v>588</v>
      </c>
      <c r="L141" s="6" t="s">
        <v>684</v>
      </c>
      <c r="M141" s="6" t="s">
        <v>594</v>
      </c>
      <c r="N141" s="6" t="s">
        <v>48</v>
      </c>
      <c r="O141" s="6" t="s">
        <v>49</v>
      </c>
      <c r="P141" s="6" t="n">
        <v>132</v>
      </c>
      <c r="Q141" s="6"/>
    </row>
    <row r="142" customFormat="false" ht="35.05" hidden="false" customHeight="false" outlineLevel="0" collapsed="false">
      <c r="A142" s="6" t="s">
        <v>733</v>
      </c>
      <c r="B142" s="6" t="s">
        <v>719</v>
      </c>
      <c r="C142" s="6" t="s">
        <v>720</v>
      </c>
      <c r="D142" s="6" t="s">
        <v>734</v>
      </c>
      <c r="E142" s="6" t="s">
        <v>400</v>
      </c>
      <c r="F142" s="6" t="s">
        <v>735</v>
      </c>
      <c r="G142" s="6" t="s">
        <v>736</v>
      </c>
      <c r="H142" s="6" t="s">
        <v>43</v>
      </c>
      <c r="I142" s="6" t="s">
        <v>44</v>
      </c>
      <c r="J142" s="6" t="n">
        <f aca="false">IFERROR(INDEX(Lists!$B$2:$B$6,MATCH(I142,Lists!$A$2:$A$6,0)),0)</f>
        <v>2</v>
      </c>
      <c r="K142" s="6" t="s">
        <v>588</v>
      </c>
      <c r="L142" s="6" t="s">
        <v>684</v>
      </c>
      <c r="M142" s="6" t="s">
        <v>594</v>
      </c>
      <c r="N142" s="6" t="s">
        <v>48</v>
      </c>
      <c r="O142" s="6" t="s">
        <v>49</v>
      </c>
      <c r="P142" s="6" t="n">
        <v>133</v>
      </c>
      <c r="Q142" s="6"/>
    </row>
    <row r="143" customFormat="false" ht="35.05" hidden="false" customHeight="false" outlineLevel="0" collapsed="false">
      <c r="A143" s="6" t="s">
        <v>737</v>
      </c>
      <c r="B143" s="6" t="s">
        <v>365</v>
      </c>
      <c r="C143" s="6" t="s">
        <v>366</v>
      </c>
      <c r="D143" s="6" t="s">
        <v>738</v>
      </c>
      <c r="E143" s="6" t="s">
        <v>118</v>
      </c>
      <c r="F143" s="6" t="s">
        <v>739</v>
      </c>
      <c r="G143" s="6" t="s">
        <v>740</v>
      </c>
      <c r="H143" s="6" t="s">
        <v>220</v>
      </c>
      <c r="I143" s="6" t="s">
        <v>44</v>
      </c>
      <c r="J143" s="6" t="n">
        <f aca="false">IFERROR(INDEX(Lists!$B$2:$B$6,MATCH(I143,Lists!$A$2:$A$6,0)),0)</f>
        <v>2</v>
      </c>
      <c r="K143" s="6" t="s">
        <v>588</v>
      </c>
      <c r="L143" s="6" t="s">
        <v>741</v>
      </c>
      <c r="M143" s="6" t="s">
        <v>742</v>
      </c>
      <c r="N143" s="6" t="s">
        <v>48</v>
      </c>
      <c r="O143" s="6" t="s">
        <v>49</v>
      </c>
      <c r="P143" s="6" t="n">
        <v>135</v>
      </c>
      <c r="Q143" s="6"/>
    </row>
    <row r="144" customFormat="false" ht="46.25" hidden="false" customHeight="false" outlineLevel="0" collapsed="false">
      <c r="A144" s="6" t="s">
        <v>743</v>
      </c>
      <c r="B144" s="6" t="s">
        <v>365</v>
      </c>
      <c r="C144" s="6" t="s">
        <v>366</v>
      </c>
      <c r="D144" s="6" t="s">
        <v>744</v>
      </c>
      <c r="E144" s="6" t="s">
        <v>108</v>
      </c>
      <c r="F144" s="6" t="s">
        <v>745</v>
      </c>
      <c r="G144" s="6" t="s">
        <v>746</v>
      </c>
      <c r="H144" s="6" t="s">
        <v>43</v>
      </c>
      <c r="I144" s="6" t="s">
        <v>185</v>
      </c>
      <c r="J144" s="6" t="n">
        <f aca="false">IFERROR(INDEX(Lists!$B$2:$B$6,MATCH(I144,Lists!$A$2:$A$6,0)),0)</f>
        <v>1</v>
      </c>
      <c r="K144" s="6" t="s">
        <v>588</v>
      </c>
      <c r="L144" s="6" t="s">
        <v>741</v>
      </c>
      <c r="M144" s="6" t="s">
        <v>374</v>
      </c>
      <c r="N144" s="6" t="s">
        <v>48</v>
      </c>
      <c r="O144" s="6" t="s">
        <v>49</v>
      </c>
      <c r="P144" s="6" t="n">
        <v>136</v>
      </c>
      <c r="Q144" s="6"/>
    </row>
    <row r="145" customFormat="false" ht="102.2" hidden="false" customHeight="false" outlineLevel="0" collapsed="false">
      <c r="A145" s="6" t="s">
        <v>747</v>
      </c>
      <c r="B145" s="6" t="s">
        <v>748</v>
      </c>
      <c r="C145" s="6" t="s">
        <v>749</v>
      </c>
      <c r="D145" s="6" t="s">
        <v>750</v>
      </c>
      <c r="E145" s="6" t="s">
        <v>40</v>
      </c>
      <c r="F145" s="6" t="s">
        <v>751</v>
      </c>
      <c r="G145" s="6" t="s">
        <v>752</v>
      </c>
      <c r="H145" s="6" t="s">
        <v>43</v>
      </c>
      <c r="I145" s="6" t="s">
        <v>57</v>
      </c>
      <c r="J145" s="6" t="n">
        <f aca="false">IFERROR(INDEX(Lists!$B$2:$B$6,MATCH(I145,Lists!$A$2:$A$6,0)),0)</f>
        <v>3</v>
      </c>
      <c r="K145" s="6" t="s">
        <v>588</v>
      </c>
      <c r="L145" s="6" t="s">
        <v>741</v>
      </c>
      <c r="M145" s="6" t="s">
        <v>753</v>
      </c>
      <c r="N145" s="6" t="s">
        <v>48</v>
      </c>
      <c r="O145" s="6" t="s">
        <v>49</v>
      </c>
      <c r="P145" s="6" t="n">
        <v>137</v>
      </c>
      <c r="Q145" s="6"/>
    </row>
    <row r="146" customFormat="false" ht="102.2" hidden="false" customHeight="false" outlineLevel="0" collapsed="false">
      <c r="A146" s="6" t="s">
        <v>754</v>
      </c>
      <c r="B146" s="6" t="s">
        <v>748</v>
      </c>
      <c r="C146" s="6" t="s">
        <v>749</v>
      </c>
      <c r="D146" s="6" t="s">
        <v>755</v>
      </c>
      <c r="E146" s="6" t="s">
        <v>400</v>
      </c>
      <c r="F146" s="6" t="s">
        <v>756</v>
      </c>
      <c r="G146" s="6" t="s">
        <v>757</v>
      </c>
      <c r="H146" s="6" t="s">
        <v>43</v>
      </c>
      <c r="I146" s="6" t="s">
        <v>214</v>
      </c>
      <c r="J146" s="6" t="n">
        <f aca="false">IFERROR(INDEX(Lists!$B$2:$B$6,MATCH(I146,Lists!$A$2:$A$6,0)),0)</f>
        <v>5</v>
      </c>
      <c r="K146" s="6" t="s">
        <v>588</v>
      </c>
      <c r="L146" s="6" t="s">
        <v>741</v>
      </c>
      <c r="M146" s="6" t="s">
        <v>758</v>
      </c>
      <c r="N146" s="6" t="s">
        <v>48</v>
      </c>
      <c r="O146" s="6" t="s">
        <v>49</v>
      </c>
      <c r="P146" s="6" t="n">
        <v>138</v>
      </c>
      <c r="Q146" s="6"/>
    </row>
    <row r="147" customFormat="false" ht="68.65" hidden="false" customHeight="false" outlineLevel="0" collapsed="false">
      <c r="A147" s="6" t="s">
        <v>759</v>
      </c>
      <c r="B147" s="6" t="s">
        <v>748</v>
      </c>
      <c r="C147" s="6" t="s">
        <v>749</v>
      </c>
      <c r="D147" s="6" t="s">
        <v>760</v>
      </c>
      <c r="E147" s="6" t="s">
        <v>40</v>
      </c>
      <c r="F147" s="6" t="s">
        <v>761</v>
      </c>
      <c r="G147" s="6" t="s">
        <v>762</v>
      </c>
      <c r="H147" s="6" t="s">
        <v>43</v>
      </c>
      <c r="I147" s="6" t="s">
        <v>44</v>
      </c>
      <c r="J147" s="6" t="n">
        <f aca="false">IFERROR(INDEX(Lists!$B$2:$B$6,MATCH(I147,Lists!$A$2:$A$6,0)),0)</f>
        <v>2</v>
      </c>
      <c r="K147" s="6" t="s">
        <v>588</v>
      </c>
      <c r="L147" s="6" t="s">
        <v>741</v>
      </c>
      <c r="M147" s="6" t="s">
        <v>763</v>
      </c>
      <c r="N147" s="6" t="s">
        <v>48</v>
      </c>
      <c r="O147" s="6" t="s">
        <v>49</v>
      </c>
      <c r="P147" s="6" t="n">
        <v>139</v>
      </c>
      <c r="Q147" s="6"/>
    </row>
    <row r="148" customFormat="false" ht="68.65" hidden="false" customHeight="false" outlineLevel="0" collapsed="false">
      <c r="A148" s="6" t="s">
        <v>764</v>
      </c>
      <c r="B148" s="6" t="s">
        <v>748</v>
      </c>
      <c r="C148" s="6" t="s">
        <v>749</v>
      </c>
      <c r="D148" s="6" t="s">
        <v>765</v>
      </c>
      <c r="E148" s="6" t="s">
        <v>597</v>
      </c>
      <c r="F148" s="6" t="s">
        <v>766</v>
      </c>
      <c r="G148" s="6" t="s">
        <v>767</v>
      </c>
      <c r="H148" s="6" t="s">
        <v>43</v>
      </c>
      <c r="I148" s="6" t="s">
        <v>57</v>
      </c>
      <c r="J148" s="6" t="n">
        <f aca="false">IFERROR(INDEX(Lists!$B$2:$B$6,MATCH(I148,Lists!$A$2:$A$6,0)),0)</f>
        <v>3</v>
      </c>
      <c r="K148" s="6" t="s">
        <v>588</v>
      </c>
      <c r="L148" s="6" t="s">
        <v>741</v>
      </c>
      <c r="M148" s="6" t="s">
        <v>768</v>
      </c>
      <c r="N148" s="6" t="s">
        <v>48</v>
      </c>
      <c r="O148" s="6" t="s">
        <v>49</v>
      </c>
      <c r="P148" s="6" t="n">
        <v>140</v>
      </c>
      <c r="Q148" s="6"/>
    </row>
    <row r="149" customFormat="false" ht="35.05" hidden="false" customHeight="false" outlineLevel="0" collapsed="false">
      <c r="A149" s="6" t="s">
        <v>769</v>
      </c>
      <c r="B149" s="6" t="s">
        <v>748</v>
      </c>
      <c r="C149" s="6" t="s">
        <v>749</v>
      </c>
      <c r="D149" s="6" t="s">
        <v>770</v>
      </c>
      <c r="E149" s="6" t="s">
        <v>597</v>
      </c>
      <c r="F149" s="6" t="s">
        <v>771</v>
      </c>
      <c r="G149" s="6" t="s">
        <v>772</v>
      </c>
      <c r="H149" s="6" t="s">
        <v>43</v>
      </c>
      <c r="I149" s="6" t="s">
        <v>44</v>
      </c>
      <c r="J149" s="6" t="n">
        <f aca="false">IFERROR(INDEX(Lists!$B$2:$B$6,MATCH(I149,Lists!$A$2:$A$6,0)),0)</f>
        <v>2</v>
      </c>
      <c r="K149" s="6" t="s">
        <v>588</v>
      </c>
      <c r="L149" s="6" t="s">
        <v>741</v>
      </c>
      <c r="M149" s="6" t="s">
        <v>618</v>
      </c>
      <c r="N149" s="6" t="s">
        <v>48</v>
      </c>
      <c r="O149" s="6" t="s">
        <v>49</v>
      </c>
      <c r="P149" s="6" t="n">
        <v>141</v>
      </c>
      <c r="Q149" s="6"/>
    </row>
    <row r="150" customFormat="false" ht="35.05" hidden="false" customHeight="false" outlineLevel="0" collapsed="false">
      <c r="A150" s="6" t="s">
        <v>773</v>
      </c>
      <c r="B150" s="6" t="s">
        <v>748</v>
      </c>
      <c r="C150" s="6" t="s">
        <v>749</v>
      </c>
      <c r="D150" s="6" t="s">
        <v>774</v>
      </c>
      <c r="E150" s="6" t="s">
        <v>400</v>
      </c>
      <c r="F150" s="6" t="s">
        <v>775</v>
      </c>
      <c r="G150" s="6" t="s">
        <v>776</v>
      </c>
      <c r="H150" s="6" t="s">
        <v>43</v>
      </c>
      <c r="I150" s="6" t="s">
        <v>44</v>
      </c>
      <c r="J150" s="6" t="n">
        <f aca="false">IFERROR(INDEX(Lists!$B$2:$B$6,MATCH(I150,Lists!$A$2:$A$6,0)),0)</f>
        <v>2</v>
      </c>
      <c r="K150" s="6" t="s">
        <v>588</v>
      </c>
      <c r="L150" s="6" t="s">
        <v>741</v>
      </c>
      <c r="M150" s="6" t="s">
        <v>758</v>
      </c>
      <c r="N150" s="6" t="s">
        <v>48</v>
      </c>
      <c r="O150" s="6" t="s">
        <v>49</v>
      </c>
      <c r="P150" s="6" t="n">
        <v>142</v>
      </c>
      <c r="Q150" s="6"/>
    </row>
    <row r="151" customFormat="false" ht="102.2" hidden="false" customHeight="false" outlineLevel="0" collapsed="false">
      <c r="A151" s="6" t="s">
        <v>777</v>
      </c>
      <c r="B151" s="6" t="s">
        <v>748</v>
      </c>
      <c r="C151" s="6" t="s">
        <v>749</v>
      </c>
      <c r="D151" s="6" t="s">
        <v>778</v>
      </c>
      <c r="E151" s="6" t="s">
        <v>108</v>
      </c>
      <c r="F151" s="6" t="s">
        <v>779</v>
      </c>
      <c r="G151" s="6" t="s">
        <v>780</v>
      </c>
      <c r="H151" s="6" t="s">
        <v>220</v>
      </c>
      <c r="I151" s="6" t="s">
        <v>57</v>
      </c>
      <c r="J151" s="6" t="n">
        <f aca="false">IFERROR(INDEX(Lists!$B$2:$B$6,MATCH(I151,Lists!$A$2:$A$6,0)),0)</f>
        <v>3</v>
      </c>
      <c r="K151" s="6" t="s">
        <v>588</v>
      </c>
      <c r="L151" s="6" t="s">
        <v>741</v>
      </c>
      <c r="M151" s="6" t="s">
        <v>781</v>
      </c>
      <c r="N151" s="6" t="s">
        <v>48</v>
      </c>
      <c r="O151" s="6" t="s">
        <v>49</v>
      </c>
      <c r="P151" s="6" t="n">
        <v>143</v>
      </c>
      <c r="Q151" s="6"/>
    </row>
    <row r="152" customFormat="false" ht="46.25" hidden="false" customHeight="false" outlineLevel="0" collapsed="false">
      <c r="A152" s="6" t="s">
        <v>782</v>
      </c>
      <c r="B152" s="6" t="s">
        <v>748</v>
      </c>
      <c r="C152" s="6" t="s">
        <v>749</v>
      </c>
      <c r="D152" s="6" t="s">
        <v>783</v>
      </c>
      <c r="E152" s="6" t="s">
        <v>54</v>
      </c>
      <c r="F152" s="6" t="s">
        <v>784</v>
      </c>
      <c r="G152" s="6" t="s">
        <v>785</v>
      </c>
      <c r="H152" s="6" t="s">
        <v>43</v>
      </c>
      <c r="I152" s="6" t="s">
        <v>44</v>
      </c>
      <c r="J152" s="6" t="n">
        <f aca="false">IFERROR(INDEX(Lists!$B$2:$B$6,MATCH(I152,Lists!$A$2:$A$6,0)),0)</f>
        <v>2</v>
      </c>
      <c r="K152" s="6" t="s">
        <v>588</v>
      </c>
      <c r="L152" s="6" t="s">
        <v>741</v>
      </c>
      <c r="M152" s="6"/>
      <c r="N152" s="6" t="s">
        <v>48</v>
      </c>
      <c r="O152" s="6" t="s">
        <v>49</v>
      </c>
      <c r="P152" s="6" t="n">
        <v>144</v>
      </c>
      <c r="Q152" s="6"/>
    </row>
    <row r="153" customFormat="false" ht="68.65" hidden="false" customHeight="false" outlineLevel="0" collapsed="false">
      <c r="A153" s="6" t="s">
        <v>786</v>
      </c>
      <c r="B153" s="6" t="s">
        <v>787</v>
      </c>
      <c r="C153" s="6" t="s">
        <v>788</v>
      </c>
      <c r="D153" s="6" t="s">
        <v>789</v>
      </c>
      <c r="E153" s="6" t="s">
        <v>400</v>
      </c>
      <c r="F153" s="6" t="s">
        <v>790</v>
      </c>
      <c r="G153" s="6" t="s">
        <v>791</v>
      </c>
      <c r="H153" s="6" t="s">
        <v>43</v>
      </c>
      <c r="I153" s="6" t="s">
        <v>57</v>
      </c>
      <c r="J153" s="6" t="n">
        <f aca="false">IFERROR(INDEX(Lists!$B$2:$B$6,MATCH(I153,Lists!$A$2:$A$6,0)),0)</f>
        <v>3</v>
      </c>
      <c r="K153" s="6" t="s">
        <v>588</v>
      </c>
      <c r="L153" s="6" t="s">
        <v>741</v>
      </c>
      <c r="M153" s="6" t="s">
        <v>792</v>
      </c>
      <c r="N153" s="6" t="s">
        <v>48</v>
      </c>
      <c r="O153" s="6" t="s">
        <v>49</v>
      </c>
      <c r="P153" s="6" t="n">
        <v>146</v>
      </c>
      <c r="Q153" s="6"/>
    </row>
    <row r="154" customFormat="false" ht="68.65" hidden="false" customHeight="false" outlineLevel="0" collapsed="false">
      <c r="A154" s="6" t="s">
        <v>793</v>
      </c>
      <c r="B154" s="6" t="s">
        <v>787</v>
      </c>
      <c r="C154" s="6" t="s">
        <v>788</v>
      </c>
      <c r="D154" s="6" t="s">
        <v>794</v>
      </c>
      <c r="E154" s="6" t="s">
        <v>40</v>
      </c>
      <c r="F154" s="6" t="s">
        <v>795</v>
      </c>
      <c r="G154" s="6" t="s">
        <v>796</v>
      </c>
      <c r="H154" s="6" t="s">
        <v>43</v>
      </c>
      <c r="I154" s="6" t="s">
        <v>44</v>
      </c>
      <c r="J154" s="6" t="n">
        <f aca="false">IFERROR(INDEX(Lists!$B$2:$B$6,MATCH(I154,Lists!$A$2:$A$6,0)),0)</f>
        <v>2</v>
      </c>
      <c r="K154" s="6" t="s">
        <v>588</v>
      </c>
      <c r="L154" s="6" t="s">
        <v>741</v>
      </c>
      <c r="M154" s="6" t="s">
        <v>797</v>
      </c>
      <c r="N154" s="6" t="s">
        <v>48</v>
      </c>
      <c r="O154" s="6" t="s">
        <v>49</v>
      </c>
      <c r="P154" s="6" t="n">
        <v>147</v>
      </c>
      <c r="Q154" s="6"/>
    </row>
    <row r="155" customFormat="false" ht="68.65" hidden="false" customHeight="false" outlineLevel="0" collapsed="false">
      <c r="A155" s="6" t="s">
        <v>798</v>
      </c>
      <c r="B155" s="6" t="s">
        <v>787</v>
      </c>
      <c r="C155" s="6" t="s">
        <v>788</v>
      </c>
      <c r="D155" s="6" t="s">
        <v>799</v>
      </c>
      <c r="E155" s="6" t="s">
        <v>54</v>
      </c>
      <c r="F155" s="6" t="s">
        <v>800</v>
      </c>
      <c r="G155" s="6" t="s">
        <v>801</v>
      </c>
      <c r="H155" s="6" t="s">
        <v>43</v>
      </c>
      <c r="I155" s="6" t="s">
        <v>57</v>
      </c>
      <c r="J155" s="6" t="n">
        <f aca="false">IFERROR(INDEX(Lists!$B$2:$B$6,MATCH(I155,Lists!$A$2:$A$6,0)),0)</f>
        <v>3</v>
      </c>
      <c r="K155" s="6" t="s">
        <v>588</v>
      </c>
      <c r="L155" s="6" t="s">
        <v>741</v>
      </c>
      <c r="M155" s="6" t="s">
        <v>792</v>
      </c>
      <c r="N155" s="6" t="s">
        <v>48</v>
      </c>
      <c r="O155" s="6" t="s">
        <v>49</v>
      </c>
      <c r="P155" s="6" t="n">
        <v>148</v>
      </c>
      <c r="Q155" s="6"/>
    </row>
    <row r="156" customFormat="false" ht="46.25" hidden="false" customHeight="false" outlineLevel="0" collapsed="false">
      <c r="A156" s="6" t="s">
        <v>802</v>
      </c>
      <c r="B156" s="6" t="s">
        <v>787</v>
      </c>
      <c r="C156" s="6" t="s">
        <v>788</v>
      </c>
      <c r="D156" s="6" t="s">
        <v>803</v>
      </c>
      <c r="E156" s="6" t="s">
        <v>54</v>
      </c>
      <c r="F156" s="6" t="s">
        <v>804</v>
      </c>
      <c r="G156" s="6" t="s">
        <v>805</v>
      </c>
      <c r="H156" s="6" t="s">
        <v>43</v>
      </c>
      <c r="I156" s="6" t="s">
        <v>44</v>
      </c>
      <c r="J156" s="6" t="n">
        <f aca="false">IFERROR(INDEX(Lists!$B$2:$B$6,MATCH(I156,Lists!$A$2:$A$6,0)),0)</f>
        <v>2</v>
      </c>
      <c r="K156" s="6" t="s">
        <v>588</v>
      </c>
      <c r="L156" s="6" t="s">
        <v>741</v>
      </c>
      <c r="M156" s="6"/>
      <c r="N156" s="6" t="s">
        <v>48</v>
      </c>
      <c r="O156" s="6" t="s">
        <v>49</v>
      </c>
      <c r="P156" s="6" t="n">
        <v>149</v>
      </c>
      <c r="Q156" s="6"/>
    </row>
    <row r="157" customFormat="false" ht="46.25" hidden="false" customHeight="false" outlineLevel="0" collapsed="false">
      <c r="A157" s="6" t="s">
        <v>806</v>
      </c>
      <c r="B157" s="6" t="s">
        <v>787</v>
      </c>
      <c r="C157" s="6" t="s">
        <v>788</v>
      </c>
      <c r="D157" s="6" t="s">
        <v>807</v>
      </c>
      <c r="E157" s="6" t="s">
        <v>40</v>
      </c>
      <c r="F157" s="6" t="s">
        <v>808</v>
      </c>
      <c r="G157" s="6" t="s">
        <v>809</v>
      </c>
      <c r="H157" s="6" t="s">
        <v>220</v>
      </c>
      <c r="I157" s="6" t="s">
        <v>44</v>
      </c>
      <c r="J157" s="6" t="n">
        <f aca="false">IFERROR(INDEX(Lists!$B$2:$B$6,MATCH(I157,Lists!$A$2:$A$6,0)),0)</f>
        <v>2</v>
      </c>
      <c r="K157" s="6" t="s">
        <v>588</v>
      </c>
      <c r="L157" s="6" t="s">
        <v>741</v>
      </c>
      <c r="M157" s="6" t="s">
        <v>810</v>
      </c>
      <c r="N157" s="6" t="s">
        <v>48</v>
      </c>
      <c r="O157" s="6" t="s">
        <v>49</v>
      </c>
      <c r="P157" s="6" t="n">
        <v>150</v>
      </c>
      <c r="Q157" s="6"/>
    </row>
    <row r="158" customFormat="false" ht="35.05" hidden="false" customHeight="false" outlineLevel="0" collapsed="false">
      <c r="A158" s="6" t="s">
        <v>811</v>
      </c>
      <c r="B158" s="6" t="s">
        <v>699</v>
      </c>
      <c r="C158" s="6" t="s">
        <v>700</v>
      </c>
      <c r="D158" s="6" t="s">
        <v>812</v>
      </c>
      <c r="E158" s="6" t="s">
        <v>400</v>
      </c>
      <c r="F158" s="6" t="s">
        <v>813</v>
      </c>
      <c r="G158" s="6" t="s">
        <v>814</v>
      </c>
      <c r="H158" s="6" t="s">
        <v>587</v>
      </c>
      <c r="I158" s="6" t="s">
        <v>44</v>
      </c>
      <c r="J158" s="6" t="n">
        <f aca="false">IFERROR(INDEX(Lists!$B$2:$B$6,MATCH(I158,Lists!$A$2:$A$6,0)),0)</f>
        <v>2</v>
      </c>
      <c r="K158" s="6" t="s">
        <v>588</v>
      </c>
      <c r="L158" s="6" t="s">
        <v>741</v>
      </c>
      <c r="M158" s="6" t="s">
        <v>815</v>
      </c>
      <c r="N158" s="6" t="s">
        <v>48</v>
      </c>
      <c r="O158" s="6" t="s">
        <v>49</v>
      </c>
      <c r="P158" s="6" t="n">
        <v>134</v>
      </c>
      <c r="Q158" s="6"/>
    </row>
    <row r="159" customFormat="false" ht="35.05" hidden="false" customHeight="false" outlineLevel="0" collapsed="false">
      <c r="A159" s="6" t="s">
        <v>816</v>
      </c>
      <c r="B159" s="6" t="s">
        <v>59</v>
      </c>
      <c r="C159" s="6" t="s">
        <v>60</v>
      </c>
      <c r="D159" s="6" t="s">
        <v>817</v>
      </c>
      <c r="E159" s="6" t="s">
        <v>54</v>
      </c>
      <c r="F159" s="6" t="s">
        <v>818</v>
      </c>
      <c r="G159" s="6" t="s">
        <v>819</v>
      </c>
      <c r="H159" s="6" t="s">
        <v>43</v>
      </c>
      <c r="I159" s="6" t="s">
        <v>57</v>
      </c>
      <c r="J159" s="6" t="n">
        <f aca="false">IFERROR(INDEX(Lists!$B$2:$B$6,MATCH(I159,Lists!$A$2:$A$6,0)),0)</f>
        <v>3</v>
      </c>
      <c r="K159" s="6" t="s">
        <v>588</v>
      </c>
      <c r="L159" s="6" t="s">
        <v>741</v>
      </c>
      <c r="M159" s="6" t="s">
        <v>820</v>
      </c>
      <c r="N159" s="6" t="s">
        <v>48</v>
      </c>
      <c r="O159" s="6" t="s">
        <v>49</v>
      </c>
      <c r="P159" s="6" t="n">
        <v>145</v>
      </c>
      <c r="Q159" s="6"/>
    </row>
    <row r="160" customFormat="false" ht="79.85" hidden="false" customHeight="false" outlineLevel="0" collapsed="false">
      <c r="A160" s="6" t="s">
        <v>821</v>
      </c>
      <c r="B160" s="6" t="s">
        <v>822</v>
      </c>
      <c r="C160" s="6" t="s">
        <v>823</v>
      </c>
      <c r="D160" s="6" t="s">
        <v>824</v>
      </c>
      <c r="E160" s="6" t="s">
        <v>54</v>
      </c>
      <c r="F160" s="6" t="s">
        <v>825</v>
      </c>
      <c r="G160" s="6" t="s">
        <v>826</v>
      </c>
      <c r="H160" s="6" t="s">
        <v>43</v>
      </c>
      <c r="I160" s="6" t="s">
        <v>57</v>
      </c>
      <c r="J160" s="6" t="n">
        <f aca="false">IFERROR(INDEX(Lists!$B$2:$B$6,MATCH(I160,Lists!$A$2:$A$6,0)),0)</f>
        <v>3</v>
      </c>
      <c r="K160" s="6" t="s">
        <v>588</v>
      </c>
      <c r="L160" s="6" t="s">
        <v>741</v>
      </c>
      <c r="M160" s="6" t="s">
        <v>820</v>
      </c>
      <c r="N160" s="6" t="s">
        <v>48</v>
      </c>
      <c r="O160" s="6" t="s">
        <v>49</v>
      </c>
      <c r="P160" s="6" t="n">
        <v>223</v>
      </c>
      <c r="Q160" s="6"/>
    </row>
    <row r="161" customFormat="false" ht="91" hidden="false" customHeight="false" outlineLevel="0" collapsed="false">
      <c r="A161" s="6" t="s">
        <v>827</v>
      </c>
      <c r="B161" s="6" t="s">
        <v>822</v>
      </c>
      <c r="C161" s="6" t="s">
        <v>823</v>
      </c>
      <c r="D161" s="6" t="s">
        <v>828</v>
      </c>
      <c r="E161" s="6" t="s">
        <v>54</v>
      </c>
      <c r="F161" s="6" t="s">
        <v>829</v>
      </c>
      <c r="G161" s="6" t="s">
        <v>830</v>
      </c>
      <c r="H161" s="6" t="s">
        <v>43</v>
      </c>
      <c r="I161" s="6" t="s">
        <v>57</v>
      </c>
      <c r="J161" s="6" t="n">
        <f aca="false">IFERROR(INDEX(Lists!$B$2:$B$6,MATCH(I161,Lists!$A$2:$A$6,0)),0)</f>
        <v>3</v>
      </c>
      <c r="K161" s="6" t="s">
        <v>588</v>
      </c>
      <c r="L161" s="6" t="s">
        <v>741</v>
      </c>
      <c r="M161" s="6" t="s">
        <v>820</v>
      </c>
      <c r="N161" s="6" t="s">
        <v>48</v>
      </c>
      <c r="O161" s="6" t="s">
        <v>49</v>
      </c>
      <c r="P161" s="6" t="n">
        <v>224</v>
      </c>
      <c r="Q161" s="6"/>
    </row>
    <row r="162" customFormat="false" ht="79.85" hidden="false" customHeight="false" outlineLevel="0" collapsed="false">
      <c r="A162" s="6" t="s">
        <v>831</v>
      </c>
      <c r="B162" s="6" t="s">
        <v>822</v>
      </c>
      <c r="C162" s="6" t="s">
        <v>823</v>
      </c>
      <c r="D162" s="6" t="s">
        <v>832</v>
      </c>
      <c r="E162" s="6" t="s">
        <v>40</v>
      </c>
      <c r="F162" s="6" t="s">
        <v>833</v>
      </c>
      <c r="G162" s="6" t="s">
        <v>834</v>
      </c>
      <c r="H162" s="6" t="s">
        <v>220</v>
      </c>
      <c r="I162" s="6" t="s">
        <v>44</v>
      </c>
      <c r="J162" s="6" t="n">
        <f aca="false">IFERROR(INDEX(Lists!$B$2:$B$6,MATCH(I162,Lists!$A$2:$A$6,0)),0)</f>
        <v>2</v>
      </c>
      <c r="K162" s="6" t="s">
        <v>588</v>
      </c>
      <c r="L162" s="6" t="s">
        <v>741</v>
      </c>
      <c r="M162" s="6" t="s">
        <v>820</v>
      </c>
      <c r="N162" s="6" t="s">
        <v>48</v>
      </c>
      <c r="O162" s="6" t="s">
        <v>49</v>
      </c>
      <c r="P162" s="6" t="n">
        <v>225</v>
      </c>
      <c r="Q162" s="6"/>
    </row>
    <row r="163" customFormat="false" ht="68.65" hidden="false" customHeight="false" outlineLevel="0" collapsed="false">
      <c r="A163" s="6" t="s">
        <v>835</v>
      </c>
      <c r="B163" s="6" t="s">
        <v>836</v>
      </c>
      <c r="C163" s="6" t="s">
        <v>837</v>
      </c>
      <c r="D163" s="6" t="s">
        <v>838</v>
      </c>
      <c r="E163" s="6" t="s">
        <v>54</v>
      </c>
      <c r="F163" s="6" t="s">
        <v>839</v>
      </c>
      <c r="G163" s="6" t="s">
        <v>840</v>
      </c>
      <c r="H163" s="6" t="s">
        <v>43</v>
      </c>
      <c r="I163" s="6" t="s">
        <v>214</v>
      </c>
      <c r="J163" s="6" t="n">
        <f aca="false">IFERROR(INDEX(Lists!$B$2:$B$6,MATCH(I163,Lists!$A$2:$A$6,0)),0)</f>
        <v>5</v>
      </c>
      <c r="K163" s="6" t="s">
        <v>841</v>
      </c>
      <c r="L163" s="6" t="s">
        <v>842</v>
      </c>
      <c r="M163" s="6"/>
      <c r="N163" s="6" t="s">
        <v>48</v>
      </c>
      <c r="O163" s="6" t="s">
        <v>49</v>
      </c>
      <c r="P163" s="6" t="n">
        <v>151</v>
      </c>
      <c r="Q163" s="6"/>
    </row>
    <row r="164" customFormat="false" ht="35.05" hidden="false" customHeight="false" outlineLevel="0" collapsed="false">
      <c r="A164" s="6" t="s">
        <v>843</v>
      </c>
      <c r="B164" s="6" t="s">
        <v>836</v>
      </c>
      <c r="C164" s="6" t="s">
        <v>837</v>
      </c>
      <c r="D164" s="6" t="s">
        <v>844</v>
      </c>
      <c r="E164" s="6" t="s">
        <v>54</v>
      </c>
      <c r="F164" s="6" t="s">
        <v>845</v>
      </c>
      <c r="G164" s="6" t="s">
        <v>846</v>
      </c>
      <c r="H164" s="6" t="s">
        <v>43</v>
      </c>
      <c r="I164" s="6" t="s">
        <v>57</v>
      </c>
      <c r="J164" s="6" t="n">
        <f aca="false">IFERROR(INDEX(Lists!$B$2:$B$6,MATCH(I164,Lists!$A$2:$A$6,0)),0)</f>
        <v>3</v>
      </c>
      <c r="K164" s="6" t="s">
        <v>841</v>
      </c>
      <c r="L164" s="6" t="s">
        <v>842</v>
      </c>
      <c r="M164" s="6"/>
      <c r="N164" s="6" t="s">
        <v>48</v>
      </c>
      <c r="O164" s="6" t="s">
        <v>49</v>
      </c>
      <c r="P164" s="6" t="n">
        <v>152</v>
      </c>
      <c r="Q164" s="6"/>
    </row>
    <row r="165" customFormat="false" ht="35.05" hidden="false" customHeight="false" outlineLevel="0" collapsed="false">
      <c r="A165" s="6" t="s">
        <v>847</v>
      </c>
      <c r="B165" s="6" t="s">
        <v>836</v>
      </c>
      <c r="C165" s="6" t="s">
        <v>837</v>
      </c>
      <c r="D165" s="6" t="s">
        <v>848</v>
      </c>
      <c r="E165" s="6" t="s">
        <v>108</v>
      </c>
      <c r="F165" s="6" t="s">
        <v>849</v>
      </c>
      <c r="G165" s="6" t="s">
        <v>850</v>
      </c>
      <c r="H165" s="6" t="s">
        <v>43</v>
      </c>
      <c r="I165" s="6" t="s">
        <v>509</v>
      </c>
      <c r="J165" s="6" t="n">
        <f aca="false">IFERROR(INDEX(Lists!$B$2:$B$6,MATCH(I165,Lists!$A$2:$A$6,0)),0)</f>
        <v>8</v>
      </c>
      <c r="K165" s="6" t="s">
        <v>841</v>
      </c>
      <c r="L165" s="6" t="s">
        <v>851</v>
      </c>
      <c r="M165" s="6" t="s">
        <v>852</v>
      </c>
      <c r="N165" s="6" t="s">
        <v>48</v>
      </c>
      <c r="O165" s="6" t="s">
        <v>49</v>
      </c>
      <c r="P165" s="6" t="n">
        <v>153</v>
      </c>
      <c r="Q165" s="6"/>
    </row>
    <row r="166" customFormat="false" ht="46.25" hidden="false" customHeight="false" outlineLevel="0" collapsed="false">
      <c r="A166" s="6" t="s">
        <v>853</v>
      </c>
      <c r="B166" s="6" t="s">
        <v>836</v>
      </c>
      <c r="C166" s="6" t="s">
        <v>837</v>
      </c>
      <c r="D166" s="6" t="s">
        <v>854</v>
      </c>
      <c r="E166" s="6" t="s">
        <v>40</v>
      </c>
      <c r="F166" s="6" t="s">
        <v>855</v>
      </c>
      <c r="G166" s="6" t="s">
        <v>856</v>
      </c>
      <c r="H166" s="6" t="s">
        <v>43</v>
      </c>
      <c r="I166" s="6" t="s">
        <v>57</v>
      </c>
      <c r="J166" s="6" t="n">
        <f aca="false">IFERROR(INDEX(Lists!$B$2:$B$6,MATCH(I166,Lists!$A$2:$A$6,0)),0)</f>
        <v>3</v>
      </c>
      <c r="K166" s="6" t="s">
        <v>841</v>
      </c>
      <c r="L166" s="6" t="s">
        <v>857</v>
      </c>
      <c r="M166" s="6" t="s">
        <v>397</v>
      </c>
      <c r="N166" s="6" t="s">
        <v>48</v>
      </c>
      <c r="O166" s="6" t="s">
        <v>49</v>
      </c>
      <c r="P166" s="6" t="n">
        <v>154</v>
      </c>
      <c r="Q166" s="6"/>
    </row>
    <row r="167" customFormat="false" ht="46.25" hidden="false" customHeight="false" outlineLevel="0" collapsed="false">
      <c r="A167" s="6" t="s">
        <v>858</v>
      </c>
      <c r="B167" s="6" t="s">
        <v>836</v>
      </c>
      <c r="C167" s="6" t="s">
        <v>837</v>
      </c>
      <c r="D167" s="6" t="s">
        <v>859</v>
      </c>
      <c r="E167" s="6" t="s">
        <v>54</v>
      </c>
      <c r="F167" s="6" t="s">
        <v>860</v>
      </c>
      <c r="G167" s="6" t="s">
        <v>861</v>
      </c>
      <c r="H167" s="6" t="s">
        <v>43</v>
      </c>
      <c r="I167" s="6" t="s">
        <v>57</v>
      </c>
      <c r="J167" s="6" t="n">
        <f aca="false">IFERROR(INDEX(Lists!$B$2:$B$6,MATCH(I167,Lists!$A$2:$A$6,0)),0)</f>
        <v>3</v>
      </c>
      <c r="K167" s="6" t="s">
        <v>841</v>
      </c>
      <c r="L167" s="6" t="s">
        <v>862</v>
      </c>
      <c r="M167" s="6"/>
      <c r="N167" s="6" t="s">
        <v>48</v>
      </c>
      <c r="O167" s="6" t="s">
        <v>49</v>
      </c>
      <c r="P167" s="6" t="n">
        <v>155</v>
      </c>
      <c r="Q167" s="6"/>
    </row>
    <row r="168" customFormat="false" ht="35.05" hidden="false" customHeight="false" outlineLevel="0" collapsed="false">
      <c r="A168" s="6" t="s">
        <v>863</v>
      </c>
      <c r="B168" s="6" t="s">
        <v>836</v>
      </c>
      <c r="C168" s="6" t="s">
        <v>837</v>
      </c>
      <c r="D168" s="6" t="s">
        <v>864</v>
      </c>
      <c r="E168" s="6" t="s">
        <v>54</v>
      </c>
      <c r="F168" s="6" t="s">
        <v>865</v>
      </c>
      <c r="G168" s="6" t="s">
        <v>866</v>
      </c>
      <c r="H168" s="6" t="s">
        <v>43</v>
      </c>
      <c r="I168" s="6" t="s">
        <v>57</v>
      </c>
      <c r="J168" s="6" t="n">
        <f aca="false">IFERROR(INDEX(Lists!$B$2:$B$6,MATCH(I168,Lists!$A$2:$A$6,0)),0)</f>
        <v>3</v>
      </c>
      <c r="K168" s="6" t="s">
        <v>841</v>
      </c>
      <c r="L168" s="6" t="s">
        <v>862</v>
      </c>
      <c r="M168" s="6"/>
      <c r="N168" s="6" t="s">
        <v>48</v>
      </c>
      <c r="O168" s="6" t="s">
        <v>49</v>
      </c>
      <c r="P168" s="6" t="n">
        <v>156</v>
      </c>
      <c r="Q168" s="6"/>
    </row>
    <row r="169" customFormat="false" ht="35.05" hidden="false" customHeight="false" outlineLevel="0" collapsed="false">
      <c r="A169" s="6" t="s">
        <v>867</v>
      </c>
      <c r="B169" s="6" t="s">
        <v>204</v>
      </c>
      <c r="C169" s="6" t="s">
        <v>205</v>
      </c>
      <c r="D169" s="6" t="s">
        <v>868</v>
      </c>
      <c r="E169" s="6" t="s">
        <v>118</v>
      </c>
      <c r="F169" s="6" t="s">
        <v>869</v>
      </c>
      <c r="G169" s="6" t="s">
        <v>870</v>
      </c>
      <c r="H169" s="6" t="s">
        <v>220</v>
      </c>
      <c r="I169" s="6" t="s">
        <v>44</v>
      </c>
      <c r="J169" s="6" t="n">
        <f aca="false">IFERROR(INDEX(Lists!$B$2:$B$6,MATCH(I169,Lists!$A$2:$A$6,0)),0)</f>
        <v>2</v>
      </c>
      <c r="K169" s="6" t="s">
        <v>871</v>
      </c>
      <c r="L169" s="6" t="s">
        <v>872</v>
      </c>
      <c r="M169" s="6" t="s">
        <v>215</v>
      </c>
      <c r="N169" s="6" t="s">
        <v>48</v>
      </c>
      <c r="O169" s="6" t="s">
        <v>49</v>
      </c>
      <c r="P169" s="6" t="n">
        <v>160</v>
      </c>
      <c r="Q169" s="6"/>
    </row>
    <row r="170" customFormat="false" ht="46.25" hidden="false" customHeight="false" outlineLevel="0" collapsed="false">
      <c r="A170" s="6" t="s">
        <v>873</v>
      </c>
      <c r="B170" s="6" t="s">
        <v>94</v>
      </c>
      <c r="C170" s="6" t="s">
        <v>95</v>
      </c>
      <c r="D170" s="6" t="s">
        <v>874</v>
      </c>
      <c r="E170" s="6" t="s">
        <v>108</v>
      </c>
      <c r="F170" s="6" t="s">
        <v>875</v>
      </c>
      <c r="G170" s="6" t="s">
        <v>876</v>
      </c>
      <c r="H170" s="6" t="s">
        <v>220</v>
      </c>
      <c r="I170" s="6" t="s">
        <v>214</v>
      </c>
      <c r="J170" s="6" t="n">
        <f aca="false">IFERROR(INDEX(Lists!$B$2:$B$6,MATCH(I170,Lists!$A$2:$A$6,0)),0)</f>
        <v>5</v>
      </c>
      <c r="K170" s="6" t="s">
        <v>871</v>
      </c>
      <c r="L170" s="6" t="s">
        <v>872</v>
      </c>
      <c r="M170" s="6" t="s">
        <v>877</v>
      </c>
      <c r="N170" s="6" t="s">
        <v>48</v>
      </c>
      <c r="O170" s="6" t="s">
        <v>49</v>
      </c>
      <c r="P170" s="6" t="n">
        <v>157</v>
      </c>
      <c r="Q170" s="6"/>
    </row>
    <row r="171" customFormat="false" ht="46.25" hidden="false" customHeight="false" outlineLevel="0" collapsed="false">
      <c r="A171" s="6" t="s">
        <v>878</v>
      </c>
      <c r="B171" s="6" t="s">
        <v>94</v>
      </c>
      <c r="C171" s="6" t="s">
        <v>95</v>
      </c>
      <c r="D171" s="6" t="s">
        <v>879</v>
      </c>
      <c r="E171" s="6" t="s">
        <v>118</v>
      </c>
      <c r="F171" s="6" t="s">
        <v>880</v>
      </c>
      <c r="G171" s="6" t="s">
        <v>881</v>
      </c>
      <c r="H171" s="6" t="s">
        <v>220</v>
      </c>
      <c r="I171" s="6" t="s">
        <v>57</v>
      </c>
      <c r="J171" s="6" t="n">
        <f aca="false">IFERROR(INDEX(Lists!$B$2:$B$6,MATCH(I171,Lists!$A$2:$A$6,0)),0)</f>
        <v>3</v>
      </c>
      <c r="K171" s="6" t="s">
        <v>871</v>
      </c>
      <c r="L171" s="6" t="s">
        <v>872</v>
      </c>
      <c r="M171" s="6" t="s">
        <v>882</v>
      </c>
      <c r="N171" s="6" t="s">
        <v>48</v>
      </c>
      <c r="O171" s="6" t="s">
        <v>49</v>
      </c>
      <c r="P171" s="6" t="n">
        <v>158</v>
      </c>
      <c r="Q171" s="6"/>
    </row>
    <row r="172" customFormat="false" ht="35.05" hidden="false" customHeight="false" outlineLevel="0" collapsed="false">
      <c r="A172" s="6" t="s">
        <v>883</v>
      </c>
      <c r="B172" s="6" t="s">
        <v>94</v>
      </c>
      <c r="C172" s="6" t="s">
        <v>95</v>
      </c>
      <c r="D172" s="6" t="s">
        <v>884</v>
      </c>
      <c r="E172" s="6" t="s">
        <v>118</v>
      </c>
      <c r="F172" s="6" t="s">
        <v>885</v>
      </c>
      <c r="G172" s="6" t="s">
        <v>886</v>
      </c>
      <c r="H172" s="6" t="s">
        <v>220</v>
      </c>
      <c r="I172" s="6" t="s">
        <v>44</v>
      </c>
      <c r="J172" s="6" t="n">
        <f aca="false">IFERROR(INDEX(Lists!$B$2:$B$6,MATCH(I172,Lists!$A$2:$A$6,0)),0)</f>
        <v>2</v>
      </c>
      <c r="K172" s="6" t="s">
        <v>871</v>
      </c>
      <c r="L172" s="6" t="s">
        <v>872</v>
      </c>
      <c r="M172" s="6" t="s">
        <v>887</v>
      </c>
      <c r="N172" s="6" t="s">
        <v>48</v>
      </c>
      <c r="O172" s="6" t="s">
        <v>49</v>
      </c>
      <c r="P172" s="6" t="n">
        <v>159</v>
      </c>
      <c r="Q172" s="6"/>
    </row>
    <row r="173" customFormat="false" ht="46.25" hidden="false" customHeight="false" outlineLevel="0" collapsed="false">
      <c r="A173" s="6" t="s">
        <v>888</v>
      </c>
      <c r="B173" s="6" t="s">
        <v>318</v>
      </c>
      <c r="C173" s="6" t="s">
        <v>319</v>
      </c>
      <c r="D173" s="6" t="s">
        <v>889</v>
      </c>
      <c r="E173" s="6" t="s">
        <v>108</v>
      </c>
      <c r="F173" s="6" t="s">
        <v>890</v>
      </c>
      <c r="G173" s="6" t="s">
        <v>891</v>
      </c>
      <c r="H173" s="6" t="s">
        <v>220</v>
      </c>
      <c r="I173" s="6" t="s">
        <v>57</v>
      </c>
      <c r="J173" s="6" t="n">
        <f aca="false">IFERROR(INDEX(Lists!$B$2:$B$6,MATCH(I173,Lists!$A$2:$A$6,0)),0)</f>
        <v>3</v>
      </c>
      <c r="K173" s="6" t="s">
        <v>871</v>
      </c>
      <c r="L173" s="6" t="s">
        <v>892</v>
      </c>
      <c r="M173" s="6" t="s">
        <v>333</v>
      </c>
      <c r="N173" s="6" t="s">
        <v>48</v>
      </c>
      <c r="O173" s="6" t="s">
        <v>49</v>
      </c>
      <c r="P173" s="6" t="n">
        <v>161</v>
      </c>
      <c r="Q173" s="6"/>
    </row>
    <row r="174" customFormat="false" ht="35.05" hidden="false" customHeight="false" outlineLevel="0" collapsed="false">
      <c r="A174" s="6" t="s">
        <v>893</v>
      </c>
      <c r="B174" s="6" t="s">
        <v>318</v>
      </c>
      <c r="C174" s="6" t="s">
        <v>319</v>
      </c>
      <c r="D174" s="6" t="s">
        <v>894</v>
      </c>
      <c r="E174" s="6" t="s">
        <v>108</v>
      </c>
      <c r="F174" s="6" t="s">
        <v>895</v>
      </c>
      <c r="G174" s="6" t="s">
        <v>896</v>
      </c>
      <c r="H174" s="6" t="s">
        <v>587</v>
      </c>
      <c r="I174" s="6" t="s">
        <v>57</v>
      </c>
      <c r="J174" s="6" t="n">
        <f aca="false">IFERROR(INDEX(Lists!$B$2:$B$6,MATCH(I174,Lists!$A$2:$A$6,0)),0)</f>
        <v>3</v>
      </c>
      <c r="K174" s="6" t="s">
        <v>871</v>
      </c>
      <c r="L174" s="6" t="s">
        <v>892</v>
      </c>
      <c r="M174" s="6" t="s">
        <v>333</v>
      </c>
      <c r="N174" s="6" t="s">
        <v>48</v>
      </c>
      <c r="O174" s="6" t="s">
        <v>49</v>
      </c>
      <c r="P174" s="6" t="n">
        <v>162</v>
      </c>
      <c r="Q174" s="6"/>
    </row>
    <row r="175" customFormat="false" ht="35.05" hidden="false" customHeight="false" outlineLevel="0" collapsed="false">
      <c r="A175" s="6" t="s">
        <v>897</v>
      </c>
      <c r="B175" s="6" t="s">
        <v>318</v>
      </c>
      <c r="C175" s="6" t="s">
        <v>319</v>
      </c>
      <c r="D175" s="6" t="s">
        <v>898</v>
      </c>
      <c r="E175" s="6" t="s">
        <v>118</v>
      </c>
      <c r="F175" s="6" t="s">
        <v>899</v>
      </c>
      <c r="G175" s="6" t="s">
        <v>900</v>
      </c>
      <c r="H175" s="6" t="s">
        <v>220</v>
      </c>
      <c r="I175" s="6" t="s">
        <v>509</v>
      </c>
      <c r="J175" s="6" t="n">
        <f aca="false">IFERROR(INDEX(Lists!$B$2:$B$6,MATCH(I175,Lists!$A$2:$A$6,0)),0)</f>
        <v>8</v>
      </c>
      <c r="K175" s="6" t="s">
        <v>871</v>
      </c>
      <c r="L175" s="6" t="s">
        <v>892</v>
      </c>
      <c r="M175" s="6" t="s">
        <v>333</v>
      </c>
      <c r="N175" s="6" t="s">
        <v>48</v>
      </c>
      <c r="O175" s="6" t="s">
        <v>49</v>
      </c>
      <c r="P175" s="6" t="n">
        <v>163</v>
      </c>
      <c r="Q175" s="6"/>
    </row>
    <row r="176" customFormat="false" ht="46.25" hidden="false" customHeight="false" outlineLevel="0" collapsed="false">
      <c r="A176" s="6" t="s">
        <v>901</v>
      </c>
      <c r="B176" s="6" t="s">
        <v>318</v>
      </c>
      <c r="C176" s="6" t="s">
        <v>319</v>
      </c>
      <c r="D176" s="6" t="s">
        <v>902</v>
      </c>
      <c r="E176" s="6" t="s">
        <v>118</v>
      </c>
      <c r="F176" s="6" t="s">
        <v>903</v>
      </c>
      <c r="G176" s="6" t="s">
        <v>904</v>
      </c>
      <c r="H176" s="6" t="s">
        <v>587</v>
      </c>
      <c r="I176" s="6" t="s">
        <v>57</v>
      </c>
      <c r="J176" s="6" t="n">
        <f aca="false">IFERROR(INDEX(Lists!$B$2:$B$6,MATCH(I176,Lists!$A$2:$A$6,0)),0)</f>
        <v>3</v>
      </c>
      <c r="K176" s="6" t="s">
        <v>871</v>
      </c>
      <c r="L176" s="6" t="s">
        <v>892</v>
      </c>
      <c r="M176" s="6" t="s">
        <v>333</v>
      </c>
      <c r="N176" s="6" t="s">
        <v>48</v>
      </c>
      <c r="O176" s="6" t="s">
        <v>49</v>
      </c>
      <c r="P176" s="6" t="n">
        <v>164</v>
      </c>
      <c r="Q176" s="6"/>
    </row>
    <row r="177" customFormat="false" ht="35.05" hidden="false" customHeight="false" outlineLevel="0" collapsed="false">
      <c r="A177" s="6" t="s">
        <v>905</v>
      </c>
      <c r="B177" s="6" t="s">
        <v>131</v>
      </c>
      <c r="C177" s="6" t="s">
        <v>132</v>
      </c>
      <c r="D177" s="6" t="s">
        <v>906</v>
      </c>
      <c r="E177" s="6" t="s">
        <v>118</v>
      </c>
      <c r="F177" s="6" t="s">
        <v>907</v>
      </c>
      <c r="G177" s="6" t="s">
        <v>908</v>
      </c>
      <c r="H177" s="6" t="s">
        <v>220</v>
      </c>
      <c r="I177" s="6" t="s">
        <v>44</v>
      </c>
      <c r="J177" s="6" t="n">
        <f aca="false">IFERROR(INDEX(Lists!$B$2:$B$6,MATCH(I177,Lists!$A$2:$A$6,0)),0)</f>
        <v>2</v>
      </c>
      <c r="K177" s="6" t="s">
        <v>871</v>
      </c>
      <c r="L177" s="6" t="s">
        <v>909</v>
      </c>
      <c r="M177" s="6"/>
      <c r="N177" s="6" t="s">
        <v>48</v>
      </c>
      <c r="O177" s="6" t="s">
        <v>49</v>
      </c>
      <c r="P177" s="6" t="n">
        <v>165</v>
      </c>
      <c r="Q177" s="6"/>
    </row>
    <row r="178" customFormat="false" ht="35.05" hidden="false" customHeight="false" outlineLevel="0" collapsed="false">
      <c r="A178" s="6" t="s">
        <v>910</v>
      </c>
      <c r="B178" s="6" t="s">
        <v>131</v>
      </c>
      <c r="C178" s="6" t="s">
        <v>132</v>
      </c>
      <c r="D178" s="6" t="s">
        <v>911</v>
      </c>
      <c r="E178" s="6" t="s">
        <v>118</v>
      </c>
      <c r="F178" s="6" t="s">
        <v>912</v>
      </c>
      <c r="G178" s="6" t="s">
        <v>913</v>
      </c>
      <c r="H178" s="6" t="s">
        <v>587</v>
      </c>
      <c r="I178" s="6" t="s">
        <v>44</v>
      </c>
      <c r="J178" s="6" t="n">
        <f aca="false">IFERROR(INDEX(Lists!$B$2:$B$6,MATCH(I178,Lists!$A$2:$A$6,0)),0)</f>
        <v>2</v>
      </c>
      <c r="K178" s="6" t="s">
        <v>871</v>
      </c>
      <c r="L178" s="6" t="s">
        <v>909</v>
      </c>
      <c r="M178" s="6" t="s">
        <v>215</v>
      </c>
      <c r="N178" s="6" t="s">
        <v>48</v>
      </c>
      <c r="O178" s="6" t="s">
        <v>49</v>
      </c>
      <c r="P178" s="6" t="n">
        <v>166</v>
      </c>
      <c r="Q178" s="6"/>
    </row>
    <row r="179" customFormat="false" ht="46.25" hidden="false" customHeight="false" outlineLevel="0" collapsed="false">
      <c r="A179" s="6" t="s">
        <v>914</v>
      </c>
      <c r="B179" s="6" t="s">
        <v>51</v>
      </c>
      <c r="C179" s="6" t="s">
        <v>52</v>
      </c>
      <c r="D179" s="6" t="s">
        <v>915</v>
      </c>
      <c r="E179" s="6" t="s">
        <v>118</v>
      </c>
      <c r="F179" s="6" t="s">
        <v>916</v>
      </c>
      <c r="G179" s="6" t="s">
        <v>917</v>
      </c>
      <c r="H179" s="6" t="s">
        <v>43</v>
      </c>
      <c r="I179" s="6" t="s">
        <v>509</v>
      </c>
      <c r="J179" s="6" t="n">
        <f aca="false">IFERROR(INDEX(Lists!$B$2:$B$6,MATCH(I179,Lists!$A$2:$A$6,0)),0)</f>
        <v>8</v>
      </c>
      <c r="K179" s="6" t="s">
        <v>871</v>
      </c>
      <c r="L179" s="6" t="s">
        <v>909</v>
      </c>
      <c r="M179" s="6" t="s">
        <v>209</v>
      </c>
      <c r="N179" s="6" t="s">
        <v>48</v>
      </c>
      <c r="O179" s="6" t="s">
        <v>49</v>
      </c>
      <c r="P179" s="6" t="n">
        <v>167</v>
      </c>
      <c r="Q179" s="6"/>
    </row>
    <row r="180" customFormat="false" ht="68.65" hidden="false" customHeight="false" outlineLevel="0" collapsed="false">
      <c r="A180" s="6" t="s">
        <v>918</v>
      </c>
      <c r="B180" s="6" t="s">
        <v>51</v>
      </c>
      <c r="C180" s="6" t="s">
        <v>52</v>
      </c>
      <c r="D180" s="6" t="s">
        <v>919</v>
      </c>
      <c r="E180" s="6" t="s">
        <v>40</v>
      </c>
      <c r="F180" s="6" t="s">
        <v>920</v>
      </c>
      <c r="G180" s="6" t="s">
        <v>921</v>
      </c>
      <c r="H180" s="6" t="s">
        <v>220</v>
      </c>
      <c r="I180" s="6" t="s">
        <v>57</v>
      </c>
      <c r="J180" s="6" t="n">
        <f aca="false">IFERROR(INDEX(Lists!$B$2:$B$6,MATCH(I180,Lists!$A$2:$A$6,0)),0)</f>
        <v>3</v>
      </c>
      <c r="K180" s="6" t="s">
        <v>871</v>
      </c>
      <c r="L180" s="6" t="s">
        <v>909</v>
      </c>
      <c r="M180" s="6" t="s">
        <v>215</v>
      </c>
      <c r="N180" s="6" t="s">
        <v>48</v>
      </c>
      <c r="O180" s="6" t="s">
        <v>49</v>
      </c>
      <c r="P180" s="6" t="n">
        <v>168</v>
      </c>
      <c r="Q180" s="6"/>
    </row>
    <row r="181" customFormat="false" ht="35.05" hidden="false" customHeight="false" outlineLevel="0" collapsed="false">
      <c r="A181" s="6" t="s">
        <v>922</v>
      </c>
      <c r="B181" s="6" t="s">
        <v>160</v>
      </c>
      <c r="C181" s="6" t="s">
        <v>161</v>
      </c>
      <c r="D181" s="6" t="s">
        <v>923</v>
      </c>
      <c r="E181" s="6" t="s">
        <v>924</v>
      </c>
      <c r="F181" s="6" t="s">
        <v>925</v>
      </c>
      <c r="G181" s="6" t="s">
        <v>926</v>
      </c>
      <c r="H181" s="6" t="s">
        <v>220</v>
      </c>
      <c r="I181" s="6" t="s">
        <v>44</v>
      </c>
      <c r="J181" s="6" t="n">
        <f aca="false">IFERROR(INDEX(Lists!$B$2:$B$6,MATCH(I181,Lists!$A$2:$A$6,0)),0)</f>
        <v>2</v>
      </c>
      <c r="K181" s="6" t="s">
        <v>871</v>
      </c>
      <c r="L181" s="6" t="s">
        <v>927</v>
      </c>
      <c r="M181" s="6" t="s">
        <v>928</v>
      </c>
      <c r="N181" s="6" t="s">
        <v>48</v>
      </c>
      <c r="O181" s="6" t="s">
        <v>49</v>
      </c>
      <c r="P181" s="6" t="n">
        <v>176</v>
      </c>
      <c r="Q181" s="6"/>
    </row>
    <row r="182" customFormat="false" ht="46.25" hidden="false" customHeight="false" outlineLevel="0" collapsed="false">
      <c r="A182" s="6" t="s">
        <v>929</v>
      </c>
      <c r="B182" s="6" t="s">
        <v>193</v>
      </c>
      <c r="C182" s="6" t="s">
        <v>194</v>
      </c>
      <c r="D182" s="6" t="s">
        <v>930</v>
      </c>
      <c r="E182" s="6" t="s">
        <v>108</v>
      </c>
      <c r="F182" s="6" t="s">
        <v>931</v>
      </c>
      <c r="G182" s="6" t="s">
        <v>932</v>
      </c>
      <c r="H182" s="6" t="s">
        <v>220</v>
      </c>
      <c r="I182" s="6" t="s">
        <v>44</v>
      </c>
      <c r="J182" s="6" t="n">
        <f aca="false">IFERROR(INDEX(Lists!$B$2:$B$6,MATCH(I182,Lists!$A$2:$A$6,0)),0)</f>
        <v>2</v>
      </c>
      <c r="K182" s="6" t="s">
        <v>871</v>
      </c>
      <c r="L182" s="6" t="s">
        <v>927</v>
      </c>
      <c r="M182" s="6" t="s">
        <v>209</v>
      </c>
      <c r="N182" s="6" t="s">
        <v>48</v>
      </c>
      <c r="O182" s="6" t="s">
        <v>49</v>
      </c>
      <c r="P182" s="6" t="n">
        <v>175</v>
      </c>
      <c r="Q182" s="6"/>
    </row>
    <row r="183" customFormat="false" ht="46.25" hidden="false" customHeight="false" outlineLevel="0" collapsed="false">
      <c r="A183" s="6" t="s">
        <v>933</v>
      </c>
      <c r="B183" s="6" t="s">
        <v>243</v>
      </c>
      <c r="C183" s="6" t="s">
        <v>244</v>
      </c>
      <c r="D183" s="6" t="s">
        <v>934</v>
      </c>
      <c r="E183" s="6" t="s">
        <v>108</v>
      </c>
      <c r="F183" s="6" t="s">
        <v>935</v>
      </c>
      <c r="G183" s="6" t="s">
        <v>936</v>
      </c>
      <c r="H183" s="6" t="s">
        <v>220</v>
      </c>
      <c r="I183" s="6" t="s">
        <v>44</v>
      </c>
      <c r="J183" s="6" t="n">
        <f aca="false">IFERROR(INDEX(Lists!$B$2:$B$6,MATCH(I183,Lists!$A$2:$A$6,0)),0)</f>
        <v>2</v>
      </c>
      <c r="K183" s="6" t="s">
        <v>871</v>
      </c>
      <c r="L183" s="6" t="s">
        <v>927</v>
      </c>
      <c r="M183" s="6" t="s">
        <v>249</v>
      </c>
      <c r="N183" s="6" t="s">
        <v>48</v>
      </c>
      <c r="O183" s="6" t="s">
        <v>49</v>
      </c>
      <c r="P183" s="6" t="n">
        <v>172</v>
      </c>
      <c r="Q183" s="6"/>
    </row>
    <row r="184" customFormat="false" ht="68.65" hidden="false" customHeight="false" outlineLevel="0" collapsed="false">
      <c r="A184" s="6" t="s">
        <v>937</v>
      </c>
      <c r="B184" s="6" t="s">
        <v>243</v>
      </c>
      <c r="C184" s="6" t="s">
        <v>244</v>
      </c>
      <c r="D184" s="6" t="s">
        <v>938</v>
      </c>
      <c r="E184" s="6" t="s">
        <v>939</v>
      </c>
      <c r="F184" s="6" t="s">
        <v>940</v>
      </c>
      <c r="G184" s="6" t="s">
        <v>941</v>
      </c>
      <c r="H184" s="6" t="s">
        <v>220</v>
      </c>
      <c r="I184" s="6" t="s">
        <v>57</v>
      </c>
      <c r="J184" s="6" t="n">
        <f aca="false">IFERROR(INDEX(Lists!$B$2:$B$6,MATCH(I184,Lists!$A$2:$A$6,0)),0)</f>
        <v>3</v>
      </c>
      <c r="K184" s="6" t="s">
        <v>871</v>
      </c>
      <c r="L184" s="6" t="s">
        <v>927</v>
      </c>
      <c r="M184" s="6" t="s">
        <v>942</v>
      </c>
      <c r="N184" s="6" t="s">
        <v>48</v>
      </c>
      <c r="O184" s="6" t="s">
        <v>49</v>
      </c>
      <c r="P184" s="6" t="n">
        <v>173</v>
      </c>
      <c r="Q184" s="6"/>
    </row>
    <row r="185" customFormat="false" ht="35.05" hidden="false" customHeight="false" outlineLevel="0" collapsed="false">
      <c r="A185" s="6" t="s">
        <v>943</v>
      </c>
      <c r="B185" s="6" t="s">
        <v>243</v>
      </c>
      <c r="C185" s="6" t="s">
        <v>244</v>
      </c>
      <c r="D185" s="6" t="s">
        <v>944</v>
      </c>
      <c r="E185" s="6" t="s">
        <v>108</v>
      </c>
      <c r="F185" s="6" t="s">
        <v>945</v>
      </c>
      <c r="G185" s="6" t="s">
        <v>946</v>
      </c>
      <c r="H185" s="6" t="s">
        <v>43</v>
      </c>
      <c r="I185" s="6" t="s">
        <v>214</v>
      </c>
      <c r="J185" s="6" t="n">
        <f aca="false">IFERROR(INDEX(Lists!$B$2:$B$6,MATCH(I185,Lists!$A$2:$A$6,0)),0)</f>
        <v>5</v>
      </c>
      <c r="K185" s="6" t="s">
        <v>871</v>
      </c>
      <c r="L185" s="6" t="s">
        <v>927</v>
      </c>
      <c r="M185" s="6" t="s">
        <v>249</v>
      </c>
      <c r="N185" s="6" t="s">
        <v>48</v>
      </c>
      <c r="O185" s="6" t="s">
        <v>49</v>
      </c>
      <c r="P185" s="6" t="n">
        <v>174</v>
      </c>
      <c r="Q185" s="6"/>
    </row>
    <row r="186" customFormat="false" ht="35.05" hidden="false" customHeight="false" outlineLevel="0" collapsed="false">
      <c r="A186" s="6" t="s">
        <v>947</v>
      </c>
      <c r="B186" s="6" t="s">
        <v>146</v>
      </c>
      <c r="C186" s="6" t="s">
        <v>147</v>
      </c>
      <c r="D186" s="6" t="s">
        <v>948</v>
      </c>
      <c r="E186" s="6" t="s">
        <v>108</v>
      </c>
      <c r="F186" s="6" t="s">
        <v>949</v>
      </c>
      <c r="G186" s="6" t="s">
        <v>950</v>
      </c>
      <c r="H186" s="6" t="s">
        <v>220</v>
      </c>
      <c r="I186" s="6" t="s">
        <v>214</v>
      </c>
      <c r="J186" s="6" t="n">
        <f aca="false">IFERROR(INDEX(Lists!$B$2:$B$6,MATCH(I186,Lists!$A$2:$A$6,0)),0)</f>
        <v>5</v>
      </c>
      <c r="K186" s="6" t="s">
        <v>871</v>
      </c>
      <c r="L186" s="6" t="s">
        <v>927</v>
      </c>
      <c r="M186" s="6" t="s">
        <v>951</v>
      </c>
      <c r="N186" s="6" t="s">
        <v>48</v>
      </c>
      <c r="O186" s="6" t="s">
        <v>49</v>
      </c>
      <c r="P186" s="6" t="n">
        <v>177</v>
      </c>
      <c r="Q186" s="6"/>
    </row>
    <row r="187" customFormat="false" ht="35.05" hidden="false" customHeight="false" outlineLevel="0" collapsed="false">
      <c r="A187" s="6" t="s">
        <v>952</v>
      </c>
      <c r="B187" s="6" t="s">
        <v>146</v>
      </c>
      <c r="C187" s="6" t="s">
        <v>147</v>
      </c>
      <c r="D187" s="6" t="s">
        <v>953</v>
      </c>
      <c r="E187" s="6" t="s">
        <v>108</v>
      </c>
      <c r="F187" s="6" t="s">
        <v>954</v>
      </c>
      <c r="G187" s="6" t="s">
        <v>955</v>
      </c>
      <c r="H187" s="6" t="s">
        <v>220</v>
      </c>
      <c r="I187" s="6" t="s">
        <v>57</v>
      </c>
      <c r="J187" s="6" t="n">
        <f aca="false">IFERROR(INDEX(Lists!$B$2:$B$6,MATCH(I187,Lists!$A$2:$A$6,0)),0)</f>
        <v>3</v>
      </c>
      <c r="K187" s="6" t="s">
        <v>871</v>
      </c>
      <c r="L187" s="6" t="s">
        <v>927</v>
      </c>
      <c r="M187" s="6" t="s">
        <v>951</v>
      </c>
      <c r="N187" s="6" t="s">
        <v>48</v>
      </c>
      <c r="O187" s="6" t="s">
        <v>49</v>
      </c>
      <c r="P187" s="6" t="n">
        <v>178</v>
      </c>
      <c r="Q187" s="6"/>
    </row>
    <row r="188" customFormat="false" ht="35.05" hidden="false" customHeight="false" outlineLevel="0" collapsed="false">
      <c r="A188" s="6" t="s">
        <v>956</v>
      </c>
      <c r="B188" s="6" t="s">
        <v>146</v>
      </c>
      <c r="C188" s="6" t="s">
        <v>147</v>
      </c>
      <c r="D188" s="6" t="s">
        <v>957</v>
      </c>
      <c r="E188" s="6" t="s">
        <v>118</v>
      </c>
      <c r="F188" s="6" t="s">
        <v>958</v>
      </c>
      <c r="G188" s="6" t="s">
        <v>959</v>
      </c>
      <c r="H188" s="6" t="s">
        <v>587</v>
      </c>
      <c r="I188" s="6" t="s">
        <v>57</v>
      </c>
      <c r="J188" s="6" t="n">
        <f aca="false">IFERROR(INDEX(Lists!$B$2:$B$6,MATCH(I188,Lists!$A$2:$A$6,0)),0)</f>
        <v>3</v>
      </c>
      <c r="K188" s="6" t="s">
        <v>871</v>
      </c>
      <c r="L188" s="6" t="s">
        <v>927</v>
      </c>
      <c r="M188" s="6" t="s">
        <v>342</v>
      </c>
      <c r="N188" s="6" t="s">
        <v>48</v>
      </c>
      <c r="O188" s="6" t="s">
        <v>49</v>
      </c>
      <c r="P188" s="6" t="n">
        <v>179</v>
      </c>
      <c r="Q188" s="6"/>
    </row>
    <row r="189" customFormat="false" ht="35.05" hidden="false" customHeight="false" outlineLevel="0" collapsed="false">
      <c r="A189" s="6" t="s">
        <v>960</v>
      </c>
      <c r="B189" s="6" t="s">
        <v>365</v>
      </c>
      <c r="C189" s="6" t="s">
        <v>366</v>
      </c>
      <c r="D189" s="6" t="s">
        <v>961</v>
      </c>
      <c r="E189" s="6" t="s">
        <v>118</v>
      </c>
      <c r="F189" s="6" t="s">
        <v>962</v>
      </c>
      <c r="G189" s="6" t="s">
        <v>963</v>
      </c>
      <c r="H189" s="6" t="s">
        <v>587</v>
      </c>
      <c r="I189" s="6" t="s">
        <v>44</v>
      </c>
      <c r="J189" s="6" t="n">
        <f aca="false">IFERROR(INDEX(Lists!$B$2:$B$6,MATCH(I189,Lists!$A$2:$A$6,0)),0)</f>
        <v>2</v>
      </c>
      <c r="K189" s="6" t="s">
        <v>871</v>
      </c>
      <c r="L189" s="6" t="s">
        <v>927</v>
      </c>
      <c r="M189" s="6" t="s">
        <v>374</v>
      </c>
      <c r="N189" s="6" t="s">
        <v>48</v>
      </c>
      <c r="O189" s="6" t="s">
        <v>49</v>
      </c>
      <c r="P189" s="6" t="n">
        <v>169</v>
      </c>
      <c r="Q189" s="6"/>
    </row>
    <row r="190" customFormat="false" ht="35.05" hidden="false" customHeight="false" outlineLevel="0" collapsed="false">
      <c r="A190" s="6" t="s">
        <v>964</v>
      </c>
      <c r="B190" s="6" t="s">
        <v>392</v>
      </c>
      <c r="C190" s="6" t="s">
        <v>393</v>
      </c>
      <c r="D190" s="6" t="s">
        <v>965</v>
      </c>
      <c r="E190" s="6" t="s">
        <v>40</v>
      </c>
      <c r="F190" s="6" t="s">
        <v>966</v>
      </c>
      <c r="G190" s="6" t="s">
        <v>967</v>
      </c>
      <c r="H190" s="6" t="s">
        <v>220</v>
      </c>
      <c r="I190" s="6" t="s">
        <v>214</v>
      </c>
      <c r="J190" s="6" t="n">
        <f aca="false">IFERROR(INDEX(Lists!$B$2:$B$6,MATCH(I190,Lists!$A$2:$A$6,0)),0)</f>
        <v>5</v>
      </c>
      <c r="K190" s="6" t="s">
        <v>871</v>
      </c>
      <c r="L190" s="6" t="s">
        <v>927</v>
      </c>
      <c r="M190" s="6" t="s">
        <v>968</v>
      </c>
      <c r="N190" s="6" t="s">
        <v>48</v>
      </c>
      <c r="O190" s="6" t="s">
        <v>49</v>
      </c>
      <c r="P190" s="6" t="n">
        <v>170</v>
      </c>
      <c r="Q190" s="6"/>
    </row>
    <row r="191" customFormat="false" ht="35.05" hidden="false" customHeight="false" outlineLevel="0" collapsed="false">
      <c r="A191" s="6" t="s">
        <v>969</v>
      </c>
      <c r="B191" s="6" t="s">
        <v>392</v>
      </c>
      <c r="C191" s="6" t="s">
        <v>393</v>
      </c>
      <c r="D191" s="6" t="s">
        <v>970</v>
      </c>
      <c r="E191" s="6" t="s">
        <v>400</v>
      </c>
      <c r="F191" s="6" t="s">
        <v>971</v>
      </c>
      <c r="G191" s="6" t="s">
        <v>972</v>
      </c>
      <c r="H191" s="6" t="s">
        <v>587</v>
      </c>
      <c r="I191" s="6" t="s">
        <v>57</v>
      </c>
      <c r="J191" s="6" t="n">
        <f aca="false">IFERROR(INDEX(Lists!$B$2:$B$6,MATCH(I191,Lists!$A$2:$A$6,0)),0)</f>
        <v>3</v>
      </c>
      <c r="K191" s="6" t="s">
        <v>871</v>
      </c>
      <c r="L191" s="6" t="s">
        <v>927</v>
      </c>
      <c r="M191" s="6" t="s">
        <v>973</v>
      </c>
      <c r="N191" s="6" t="s">
        <v>48</v>
      </c>
      <c r="O191" s="6" t="s">
        <v>49</v>
      </c>
      <c r="P191" s="6" t="n">
        <v>171</v>
      </c>
      <c r="Q191" s="6"/>
    </row>
    <row r="192" customFormat="false" ht="46.25" hidden="false" customHeight="false" outlineLevel="0" collapsed="false">
      <c r="A192" s="6" t="s">
        <v>974</v>
      </c>
      <c r="B192" s="6" t="s">
        <v>392</v>
      </c>
      <c r="C192" s="6" t="s">
        <v>393</v>
      </c>
      <c r="D192" s="6" t="s">
        <v>975</v>
      </c>
      <c r="E192" s="6" t="s">
        <v>40</v>
      </c>
      <c r="F192" s="6" t="s">
        <v>976</v>
      </c>
      <c r="G192" s="6" t="s">
        <v>977</v>
      </c>
      <c r="H192" s="6" t="s">
        <v>220</v>
      </c>
      <c r="I192" s="6" t="s">
        <v>44</v>
      </c>
      <c r="J192" s="6" t="n">
        <f aca="false">IFERROR(INDEX(Lists!$B$2:$B$6,MATCH(I192,Lists!$A$2:$A$6,0)),0)</f>
        <v>2</v>
      </c>
      <c r="K192" s="6" t="s">
        <v>871</v>
      </c>
      <c r="L192" s="6" t="s">
        <v>978</v>
      </c>
      <c r="M192" s="6" t="s">
        <v>421</v>
      </c>
      <c r="N192" s="6" t="s">
        <v>48</v>
      </c>
      <c r="O192" s="6" t="s">
        <v>49</v>
      </c>
      <c r="P192" s="6" t="n">
        <v>180</v>
      </c>
      <c r="Q192" s="6"/>
    </row>
    <row r="193" customFormat="false" ht="46.25" hidden="false" customHeight="false" outlineLevel="0" collapsed="false">
      <c r="A193" s="6" t="s">
        <v>979</v>
      </c>
      <c r="B193" s="6" t="s">
        <v>980</v>
      </c>
      <c r="C193" s="6" t="s">
        <v>981</v>
      </c>
      <c r="D193" s="6" t="s">
        <v>982</v>
      </c>
      <c r="E193" s="6" t="s">
        <v>40</v>
      </c>
      <c r="F193" s="6" t="s">
        <v>983</v>
      </c>
      <c r="G193" s="6" t="s">
        <v>984</v>
      </c>
      <c r="H193" s="6" t="s">
        <v>43</v>
      </c>
      <c r="I193" s="6" t="s">
        <v>44</v>
      </c>
      <c r="J193" s="6" t="n">
        <f aca="false">IFERROR(INDEX(Lists!$B$2:$B$6,MATCH(I193,Lists!$A$2:$A$6,0)),0)</f>
        <v>2</v>
      </c>
      <c r="K193" s="6" t="s">
        <v>871</v>
      </c>
      <c r="L193" s="6" t="s">
        <v>978</v>
      </c>
      <c r="M193" s="6" t="s">
        <v>985</v>
      </c>
      <c r="N193" s="6" t="s">
        <v>48</v>
      </c>
      <c r="O193" s="6" t="s">
        <v>49</v>
      </c>
      <c r="P193" s="6" t="n">
        <v>181</v>
      </c>
      <c r="Q193" s="6"/>
    </row>
    <row r="194" customFormat="false" ht="35.05" hidden="false" customHeight="false" outlineLevel="0" collapsed="false">
      <c r="A194" s="6" t="s">
        <v>986</v>
      </c>
      <c r="B194" s="6" t="s">
        <v>980</v>
      </c>
      <c r="C194" s="6" t="s">
        <v>981</v>
      </c>
      <c r="D194" s="6" t="s">
        <v>987</v>
      </c>
      <c r="E194" s="6" t="s">
        <v>40</v>
      </c>
      <c r="F194" s="6" t="s">
        <v>988</v>
      </c>
      <c r="G194" s="6" t="s">
        <v>989</v>
      </c>
      <c r="H194" s="6" t="s">
        <v>43</v>
      </c>
      <c r="I194" s="6" t="s">
        <v>57</v>
      </c>
      <c r="J194" s="6" t="n">
        <f aca="false">IFERROR(INDEX(Lists!$B$2:$B$6,MATCH(I194,Lists!$A$2:$A$6,0)),0)</f>
        <v>3</v>
      </c>
      <c r="K194" s="6" t="s">
        <v>871</v>
      </c>
      <c r="L194" s="6" t="s">
        <v>978</v>
      </c>
      <c r="M194" s="6" t="s">
        <v>990</v>
      </c>
      <c r="N194" s="6" t="s">
        <v>48</v>
      </c>
      <c r="O194" s="6" t="s">
        <v>49</v>
      </c>
      <c r="P194" s="6" t="n">
        <v>182</v>
      </c>
      <c r="Q194" s="6"/>
    </row>
    <row r="195" customFormat="false" ht="35.05" hidden="false" customHeight="false" outlineLevel="0" collapsed="false">
      <c r="A195" s="6" t="s">
        <v>991</v>
      </c>
      <c r="B195" s="6" t="s">
        <v>980</v>
      </c>
      <c r="C195" s="6" t="s">
        <v>981</v>
      </c>
      <c r="D195" s="6" t="s">
        <v>992</v>
      </c>
      <c r="E195" s="6" t="s">
        <v>40</v>
      </c>
      <c r="F195" s="6" t="s">
        <v>993</v>
      </c>
      <c r="G195" s="6" t="s">
        <v>994</v>
      </c>
      <c r="H195" s="6" t="s">
        <v>43</v>
      </c>
      <c r="I195" s="6" t="s">
        <v>57</v>
      </c>
      <c r="J195" s="6" t="n">
        <f aca="false">IFERROR(INDEX(Lists!$B$2:$B$6,MATCH(I195,Lists!$A$2:$A$6,0)),0)</f>
        <v>3</v>
      </c>
      <c r="K195" s="6" t="s">
        <v>871</v>
      </c>
      <c r="L195" s="6" t="s">
        <v>978</v>
      </c>
      <c r="M195" s="6" t="s">
        <v>990</v>
      </c>
      <c r="N195" s="6" t="s">
        <v>48</v>
      </c>
      <c r="O195" s="6" t="s">
        <v>49</v>
      </c>
      <c r="P195" s="6" t="n">
        <v>183</v>
      </c>
      <c r="Q195" s="6"/>
    </row>
    <row r="196" customFormat="false" ht="46.25" hidden="false" customHeight="false" outlineLevel="0" collapsed="false">
      <c r="A196" s="6" t="s">
        <v>995</v>
      </c>
      <c r="B196" s="6" t="s">
        <v>980</v>
      </c>
      <c r="C196" s="6" t="s">
        <v>981</v>
      </c>
      <c r="D196" s="6" t="s">
        <v>996</v>
      </c>
      <c r="E196" s="6" t="s">
        <v>40</v>
      </c>
      <c r="F196" s="6" t="s">
        <v>997</v>
      </c>
      <c r="G196" s="6" t="s">
        <v>998</v>
      </c>
      <c r="H196" s="6" t="s">
        <v>43</v>
      </c>
      <c r="I196" s="6" t="s">
        <v>57</v>
      </c>
      <c r="J196" s="6" t="n">
        <f aca="false">IFERROR(INDEX(Lists!$B$2:$B$6,MATCH(I196,Lists!$A$2:$A$6,0)),0)</f>
        <v>3</v>
      </c>
      <c r="K196" s="6" t="s">
        <v>871</v>
      </c>
      <c r="L196" s="6" t="s">
        <v>978</v>
      </c>
      <c r="M196" s="6" t="s">
        <v>999</v>
      </c>
      <c r="N196" s="6" t="s">
        <v>48</v>
      </c>
      <c r="O196" s="6" t="s">
        <v>49</v>
      </c>
      <c r="P196" s="6" t="n">
        <v>184</v>
      </c>
      <c r="Q196" s="6"/>
    </row>
    <row r="197" customFormat="false" ht="35.05" hidden="false" customHeight="false" outlineLevel="0" collapsed="false">
      <c r="A197" s="6" t="s">
        <v>1000</v>
      </c>
      <c r="B197" s="6" t="s">
        <v>980</v>
      </c>
      <c r="C197" s="6" t="s">
        <v>981</v>
      </c>
      <c r="D197" s="6" t="s">
        <v>1001</v>
      </c>
      <c r="E197" s="6" t="s">
        <v>400</v>
      </c>
      <c r="F197" s="6" t="s">
        <v>1002</v>
      </c>
      <c r="G197" s="6" t="s">
        <v>1003</v>
      </c>
      <c r="H197" s="6" t="s">
        <v>43</v>
      </c>
      <c r="I197" s="6" t="s">
        <v>57</v>
      </c>
      <c r="J197" s="6" t="n">
        <f aca="false">IFERROR(INDEX(Lists!$B$2:$B$6,MATCH(I197,Lists!$A$2:$A$6,0)),0)</f>
        <v>3</v>
      </c>
      <c r="K197" s="6" t="s">
        <v>871</v>
      </c>
      <c r="L197" s="6" t="s">
        <v>978</v>
      </c>
      <c r="M197" s="6" t="s">
        <v>1004</v>
      </c>
      <c r="N197" s="6" t="s">
        <v>48</v>
      </c>
      <c r="O197" s="6" t="s">
        <v>49</v>
      </c>
      <c r="P197" s="6" t="n">
        <v>185</v>
      </c>
      <c r="Q197" s="6"/>
    </row>
    <row r="198" customFormat="false" ht="46.25" hidden="false" customHeight="false" outlineLevel="0" collapsed="false">
      <c r="A198" s="6" t="s">
        <v>1005</v>
      </c>
      <c r="B198" s="6" t="s">
        <v>980</v>
      </c>
      <c r="C198" s="6" t="s">
        <v>981</v>
      </c>
      <c r="D198" s="6" t="s">
        <v>1006</v>
      </c>
      <c r="E198" s="6" t="s">
        <v>40</v>
      </c>
      <c r="F198" s="6" t="s">
        <v>1007</v>
      </c>
      <c r="G198" s="6" t="s">
        <v>1008</v>
      </c>
      <c r="H198" s="6" t="s">
        <v>43</v>
      </c>
      <c r="I198" s="6" t="s">
        <v>44</v>
      </c>
      <c r="J198" s="6" t="n">
        <f aca="false">IFERROR(INDEX(Lists!$B$2:$B$6,MATCH(I198,Lists!$A$2:$A$6,0)),0)</f>
        <v>2</v>
      </c>
      <c r="K198" s="6" t="s">
        <v>871</v>
      </c>
      <c r="L198" s="6" t="s">
        <v>978</v>
      </c>
      <c r="M198" s="6" t="s">
        <v>1009</v>
      </c>
      <c r="N198" s="6" t="s">
        <v>48</v>
      </c>
      <c r="O198" s="6" t="s">
        <v>49</v>
      </c>
      <c r="P198" s="6" t="n">
        <v>186</v>
      </c>
      <c r="Q198" s="6"/>
    </row>
    <row r="199" customFormat="false" ht="46.25" hidden="false" customHeight="false" outlineLevel="0" collapsed="false">
      <c r="A199" s="6" t="s">
        <v>1010</v>
      </c>
      <c r="B199" s="6" t="s">
        <v>980</v>
      </c>
      <c r="C199" s="6" t="s">
        <v>981</v>
      </c>
      <c r="D199" s="6" t="s">
        <v>1011</v>
      </c>
      <c r="E199" s="6" t="s">
        <v>54</v>
      </c>
      <c r="F199" s="6" t="s">
        <v>1012</v>
      </c>
      <c r="G199" s="6" t="s">
        <v>1013</v>
      </c>
      <c r="H199" s="6" t="s">
        <v>43</v>
      </c>
      <c r="I199" s="6" t="s">
        <v>44</v>
      </c>
      <c r="J199" s="6" t="n">
        <f aca="false">IFERROR(INDEX(Lists!$B$2:$B$6,MATCH(I199,Lists!$A$2:$A$6,0)),0)</f>
        <v>2</v>
      </c>
      <c r="K199" s="6" t="s">
        <v>871</v>
      </c>
      <c r="L199" s="6" t="s">
        <v>978</v>
      </c>
      <c r="M199" s="6"/>
      <c r="N199" s="6" t="s">
        <v>48</v>
      </c>
      <c r="O199" s="6" t="s">
        <v>49</v>
      </c>
      <c r="P199" s="6" t="n">
        <v>187</v>
      </c>
      <c r="Q199" s="6"/>
    </row>
    <row r="200" customFormat="false" ht="46.25" hidden="false" customHeight="false" outlineLevel="0" collapsed="false">
      <c r="A200" s="6" t="s">
        <v>1014</v>
      </c>
      <c r="B200" s="6" t="s">
        <v>646</v>
      </c>
      <c r="C200" s="6" t="s">
        <v>647</v>
      </c>
      <c r="D200" s="6" t="s">
        <v>1015</v>
      </c>
      <c r="E200" s="6" t="s">
        <v>400</v>
      </c>
      <c r="F200" s="6" t="s">
        <v>1016</v>
      </c>
      <c r="G200" s="6" t="s">
        <v>1017</v>
      </c>
      <c r="H200" s="6" t="s">
        <v>587</v>
      </c>
      <c r="I200" s="6" t="s">
        <v>44</v>
      </c>
      <c r="J200" s="6" t="n">
        <f aca="false">IFERROR(INDEX(Lists!$B$2:$B$6,MATCH(I200,Lists!$A$2:$A$6,0)),0)</f>
        <v>2</v>
      </c>
      <c r="K200" s="6" t="s">
        <v>871</v>
      </c>
      <c r="L200" s="6" t="s">
        <v>1018</v>
      </c>
      <c r="M200" s="6" t="s">
        <v>651</v>
      </c>
      <c r="N200" s="6" t="s">
        <v>48</v>
      </c>
      <c r="O200" s="6" t="s">
        <v>49</v>
      </c>
      <c r="P200" s="6" t="n">
        <v>191</v>
      </c>
      <c r="Q200" s="6"/>
    </row>
    <row r="201" customFormat="false" ht="46.25" hidden="false" customHeight="false" outlineLevel="0" collapsed="false">
      <c r="A201" s="6" t="s">
        <v>1019</v>
      </c>
      <c r="B201" s="6" t="s">
        <v>719</v>
      </c>
      <c r="C201" s="6" t="s">
        <v>720</v>
      </c>
      <c r="D201" s="6" t="s">
        <v>1020</v>
      </c>
      <c r="E201" s="6" t="s">
        <v>400</v>
      </c>
      <c r="F201" s="6" t="s">
        <v>1021</v>
      </c>
      <c r="G201" s="6" t="s">
        <v>1022</v>
      </c>
      <c r="H201" s="6" t="s">
        <v>587</v>
      </c>
      <c r="I201" s="6" t="s">
        <v>57</v>
      </c>
      <c r="J201" s="6" t="n">
        <f aca="false">IFERROR(INDEX(Lists!$B$2:$B$6,MATCH(I201,Lists!$A$2:$A$6,0)),0)</f>
        <v>3</v>
      </c>
      <c r="K201" s="6" t="s">
        <v>871</v>
      </c>
      <c r="L201" s="6" t="s">
        <v>1018</v>
      </c>
      <c r="M201" s="6" t="s">
        <v>815</v>
      </c>
      <c r="N201" s="6" t="s">
        <v>48</v>
      </c>
      <c r="O201" s="6" t="s">
        <v>49</v>
      </c>
      <c r="P201" s="6" t="n">
        <v>192</v>
      </c>
      <c r="Q201" s="6"/>
    </row>
    <row r="202" customFormat="false" ht="68.65" hidden="false" customHeight="false" outlineLevel="0" collapsed="false">
      <c r="A202" s="6" t="s">
        <v>1023</v>
      </c>
      <c r="B202" s="6" t="s">
        <v>59</v>
      </c>
      <c r="C202" s="6" t="s">
        <v>60</v>
      </c>
      <c r="D202" s="6" t="s">
        <v>1024</v>
      </c>
      <c r="E202" s="6" t="s">
        <v>939</v>
      </c>
      <c r="F202" s="6" t="s">
        <v>1025</v>
      </c>
      <c r="G202" s="6" t="s">
        <v>1026</v>
      </c>
      <c r="H202" s="6" t="s">
        <v>43</v>
      </c>
      <c r="I202" s="6" t="s">
        <v>57</v>
      </c>
      <c r="J202" s="6" t="n">
        <f aca="false">IFERROR(INDEX(Lists!$B$2:$B$6,MATCH(I202,Lists!$A$2:$A$6,0)),0)</f>
        <v>3</v>
      </c>
      <c r="K202" s="6" t="s">
        <v>871</v>
      </c>
      <c r="L202" s="6" t="s">
        <v>1018</v>
      </c>
      <c r="M202" s="6" t="s">
        <v>942</v>
      </c>
      <c r="N202" s="6" t="s">
        <v>48</v>
      </c>
      <c r="O202" s="6" t="s">
        <v>49</v>
      </c>
      <c r="P202" s="6" t="n">
        <v>194</v>
      </c>
      <c r="Q202" s="6"/>
    </row>
    <row r="203" customFormat="false" ht="35.05" hidden="false" customHeight="false" outlineLevel="0" collapsed="false">
      <c r="A203" s="6" t="s">
        <v>1027</v>
      </c>
      <c r="B203" s="6" t="s">
        <v>512</v>
      </c>
      <c r="C203" s="6" t="s">
        <v>513</v>
      </c>
      <c r="D203" s="6" t="s">
        <v>1028</v>
      </c>
      <c r="E203" s="6" t="s">
        <v>40</v>
      </c>
      <c r="F203" s="6" t="s">
        <v>1029</v>
      </c>
      <c r="G203" s="6" t="s">
        <v>1030</v>
      </c>
      <c r="H203" s="6" t="s">
        <v>220</v>
      </c>
      <c r="I203" s="6" t="s">
        <v>57</v>
      </c>
      <c r="J203" s="6" t="n">
        <f aca="false">IFERROR(INDEX(Lists!$B$2:$B$6,MATCH(I203,Lists!$A$2:$A$6,0)),0)</f>
        <v>3</v>
      </c>
      <c r="K203" s="6" t="s">
        <v>871</v>
      </c>
      <c r="L203" s="6" t="s">
        <v>1018</v>
      </c>
      <c r="M203" s="6" t="s">
        <v>237</v>
      </c>
      <c r="N203" s="6" t="s">
        <v>48</v>
      </c>
      <c r="O203" s="6" t="s">
        <v>49</v>
      </c>
      <c r="P203" s="6" t="n">
        <v>188</v>
      </c>
      <c r="Q203" s="6"/>
    </row>
    <row r="204" customFormat="false" ht="35.05" hidden="false" customHeight="false" outlineLevel="0" collapsed="false">
      <c r="A204" s="6" t="s">
        <v>1031</v>
      </c>
      <c r="B204" s="6" t="s">
        <v>512</v>
      </c>
      <c r="C204" s="6" t="s">
        <v>513</v>
      </c>
      <c r="D204" s="6" t="s">
        <v>1032</v>
      </c>
      <c r="E204" s="6" t="s">
        <v>118</v>
      </c>
      <c r="F204" s="6" t="s">
        <v>1033</v>
      </c>
      <c r="G204" s="6" t="s">
        <v>1034</v>
      </c>
      <c r="H204" s="6" t="s">
        <v>587</v>
      </c>
      <c r="I204" s="6" t="s">
        <v>44</v>
      </c>
      <c r="J204" s="6" t="n">
        <f aca="false">IFERROR(INDEX(Lists!$B$2:$B$6,MATCH(I204,Lists!$A$2:$A$6,0)),0)</f>
        <v>2</v>
      </c>
      <c r="K204" s="6" t="s">
        <v>871</v>
      </c>
      <c r="L204" s="6" t="s">
        <v>1018</v>
      </c>
      <c r="M204" s="6" t="s">
        <v>191</v>
      </c>
      <c r="N204" s="6" t="s">
        <v>48</v>
      </c>
      <c r="O204" s="6" t="s">
        <v>49</v>
      </c>
      <c r="P204" s="6" t="n">
        <v>189</v>
      </c>
      <c r="Q204" s="6"/>
    </row>
    <row r="205" customFormat="false" ht="35.05" hidden="false" customHeight="false" outlineLevel="0" collapsed="false">
      <c r="A205" s="6" t="s">
        <v>1035</v>
      </c>
      <c r="B205" s="6" t="s">
        <v>512</v>
      </c>
      <c r="C205" s="6" t="s">
        <v>513</v>
      </c>
      <c r="D205" s="6" t="s">
        <v>1036</v>
      </c>
      <c r="E205" s="6" t="s">
        <v>108</v>
      </c>
      <c r="F205" s="6" t="s">
        <v>1037</v>
      </c>
      <c r="G205" s="6" t="s">
        <v>1038</v>
      </c>
      <c r="H205" s="6" t="s">
        <v>587</v>
      </c>
      <c r="I205" s="6" t="s">
        <v>44</v>
      </c>
      <c r="J205" s="6" t="n">
        <f aca="false">IFERROR(INDEX(Lists!$B$2:$B$6,MATCH(I205,Lists!$A$2:$A$6,0)),0)</f>
        <v>2</v>
      </c>
      <c r="K205" s="6" t="s">
        <v>871</v>
      </c>
      <c r="L205" s="6" t="s">
        <v>1018</v>
      </c>
      <c r="M205" s="6" t="s">
        <v>289</v>
      </c>
      <c r="N205" s="6" t="s">
        <v>48</v>
      </c>
      <c r="O205" s="6" t="s">
        <v>49</v>
      </c>
      <c r="P205" s="6" t="n">
        <v>190</v>
      </c>
      <c r="Q205" s="6"/>
    </row>
    <row r="206" customFormat="false" ht="68.65" hidden="false" customHeight="false" outlineLevel="0" collapsed="false">
      <c r="A206" s="6" t="s">
        <v>1039</v>
      </c>
      <c r="B206" s="6" t="s">
        <v>70</v>
      </c>
      <c r="C206" s="6" t="s">
        <v>71</v>
      </c>
      <c r="D206" s="6" t="s">
        <v>1040</v>
      </c>
      <c r="E206" s="6" t="s">
        <v>54</v>
      </c>
      <c r="F206" s="6" t="s">
        <v>1041</v>
      </c>
      <c r="G206" s="6" t="s">
        <v>1042</v>
      </c>
      <c r="H206" s="6" t="s">
        <v>43</v>
      </c>
      <c r="I206" s="6" t="s">
        <v>57</v>
      </c>
      <c r="J206" s="6" t="n">
        <f aca="false">IFERROR(INDEX(Lists!$B$2:$B$6,MATCH(I206,Lists!$A$2:$A$6,0)),0)</f>
        <v>3</v>
      </c>
      <c r="K206" s="6" t="s">
        <v>871</v>
      </c>
      <c r="L206" s="6" t="s">
        <v>1018</v>
      </c>
      <c r="M206" s="6"/>
      <c r="N206" s="6" t="s">
        <v>48</v>
      </c>
      <c r="O206" s="6" t="s">
        <v>49</v>
      </c>
      <c r="P206" s="6" t="n">
        <v>193</v>
      </c>
      <c r="Q206" s="6"/>
    </row>
    <row r="207" customFormat="false" ht="35.05" hidden="false" customHeight="false" outlineLevel="0" collapsed="false">
      <c r="A207" s="6" t="s">
        <v>1043</v>
      </c>
      <c r="B207" s="6" t="s">
        <v>160</v>
      </c>
      <c r="C207" s="6" t="s">
        <v>161</v>
      </c>
      <c r="D207" s="6" t="s">
        <v>1044</v>
      </c>
      <c r="E207" s="6" t="s">
        <v>40</v>
      </c>
      <c r="F207" s="6" t="s">
        <v>1045</v>
      </c>
      <c r="G207" s="6" t="s">
        <v>1046</v>
      </c>
      <c r="H207" s="6" t="s">
        <v>220</v>
      </c>
      <c r="I207" s="6" t="s">
        <v>44</v>
      </c>
      <c r="J207" s="6" t="n">
        <f aca="false">IFERROR(INDEX(Lists!$B$2:$B$6,MATCH(I207,Lists!$A$2:$A$6,0)),0)</f>
        <v>2</v>
      </c>
      <c r="K207" s="6" t="s">
        <v>1047</v>
      </c>
      <c r="L207" s="6"/>
      <c r="M207" s="6" t="s">
        <v>459</v>
      </c>
      <c r="N207" s="6" t="s">
        <v>48</v>
      </c>
      <c r="O207" s="6" t="s">
        <v>49</v>
      </c>
      <c r="P207" s="6" t="n">
        <v>210</v>
      </c>
      <c r="Q207" s="6"/>
    </row>
    <row r="208" customFormat="false" ht="35.05" hidden="false" customHeight="false" outlineLevel="0" collapsed="false">
      <c r="A208" s="6" t="s">
        <v>1048</v>
      </c>
      <c r="B208" s="6" t="s">
        <v>204</v>
      </c>
      <c r="C208" s="6" t="s">
        <v>205</v>
      </c>
      <c r="D208" s="6" t="s">
        <v>1049</v>
      </c>
      <c r="E208" s="6" t="s">
        <v>939</v>
      </c>
      <c r="F208" s="6" t="s">
        <v>1050</v>
      </c>
      <c r="G208" s="6" t="s">
        <v>1051</v>
      </c>
      <c r="H208" s="6" t="s">
        <v>587</v>
      </c>
      <c r="I208" s="6" t="s">
        <v>57</v>
      </c>
      <c r="J208" s="6" t="n">
        <f aca="false">IFERROR(INDEX(Lists!$B$2:$B$6,MATCH(I208,Lists!$A$2:$A$6,0)),0)</f>
        <v>3</v>
      </c>
      <c r="K208" s="6" t="s">
        <v>1047</v>
      </c>
      <c r="L208" s="6"/>
      <c r="M208" s="6" t="s">
        <v>209</v>
      </c>
      <c r="N208" s="6" t="s">
        <v>48</v>
      </c>
      <c r="O208" s="6" t="s">
        <v>49</v>
      </c>
      <c r="P208" s="6" t="n">
        <v>203</v>
      </c>
      <c r="Q208" s="6"/>
    </row>
    <row r="209" customFormat="false" ht="68.65" hidden="false" customHeight="false" outlineLevel="0" collapsed="false">
      <c r="A209" s="6" t="s">
        <v>1052</v>
      </c>
      <c r="B209" s="6" t="s">
        <v>94</v>
      </c>
      <c r="C209" s="6" t="s">
        <v>95</v>
      </c>
      <c r="D209" s="6" t="s">
        <v>1053</v>
      </c>
      <c r="E209" s="6" t="s">
        <v>939</v>
      </c>
      <c r="F209" s="6" t="s">
        <v>1054</v>
      </c>
      <c r="G209" s="6" t="s">
        <v>1055</v>
      </c>
      <c r="H209" s="6" t="s">
        <v>220</v>
      </c>
      <c r="I209" s="6" t="s">
        <v>509</v>
      </c>
      <c r="J209" s="6" t="n">
        <f aca="false">IFERROR(INDEX(Lists!$B$2:$B$6,MATCH(I209,Lists!$A$2:$A$6,0)),0)</f>
        <v>8</v>
      </c>
      <c r="K209" s="6" t="s">
        <v>1047</v>
      </c>
      <c r="L209" s="6"/>
      <c r="M209" s="6" t="s">
        <v>942</v>
      </c>
      <c r="N209" s="6" t="s">
        <v>48</v>
      </c>
      <c r="O209" s="6" t="s">
        <v>49</v>
      </c>
      <c r="P209" s="6" t="n">
        <v>202</v>
      </c>
      <c r="Q209" s="6"/>
    </row>
    <row r="210" customFormat="false" ht="35.05" hidden="false" customHeight="false" outlineLevel="0" collapsed="false">
      <c r="A210" s="6" t="s">
        <v>1056</v>
      </c>
      <c r="B210" s="6" t="s">
        <v>699</v>
      </c>
      <c r="C210" s="6" t="s">
        <v>700</v>
      </c>
      <c r="D210" s="6" t="s">
        <v>1057</v>
      </c>
      <c r="E210" s="6" t="s">
        <v>400</v>
      </c>
      <c r="F210" s="6" t="s">
        <v>1058</v>
      </c>
      <c r="G210" s="6" t="s">
        <v>1059</v>
      </c>
      <c r="H210" s="6" t="s">
        <v>587</v>
      </c>
      <c r="I210" s="6" t="s">
        <v>57</v>
      </c>
      <c r="J210" s="6" t="n">
        <f aca="false">IFERROR(INDEX(Lists!$B$2:$B$6,MATCH(I210,Lists!$A$2:$A$6,0)),0)</f>
        <v>3</v>
      </c>
      <c r="K210" s="6" t="s">
        <v>1047</v>
      </c>
      <c r="L210" s="6"/>
      <c r="M210" s="6" t="s">
        <v>693</v>
      </c>
      <c r="N210" s="6" t="s">
        <v>48</v>
      </c>
      <c r="O210" s="6" t="s">
        <v>49</v>
      </c>
      <c r="P210" s="6" t="n">
        <v>199</v>
      </c>
      <c r="Q210" s="6"/>
    </row>
    <row r="211" customFormat="false" ht="35.05" hidden="false" customHeight="false" outlineLevel="0" collapsed="false">
      <c r="A211" s="6" t="s">
        <v>1060</v>
      </c>
      <c r="B211" s="6" t="s">
        <v>51</v>
      </c>
      <c r="C211" s="6" t="s">
        <v>52</v>
      </c>
      <c r="D211" s="6" t="s">
        <v>1061</v>
      </c>
      <c r="E211" s="6" t="s">
        <v>939</v>
      </c>
      <c r="F211" s="6" t="s">
        <v>1062</v>
      </c>
      <c r="G211" s="6" t="s">
        <v>1063</v>
      </c>
      <c r="H211" s="6" t="s">
        <v>220</v>
      </c>
      <c r="I211" s="6" t="s">
        <v>509</v>
      </c>
      <c r="J211" s="6" t="n">
        <f aca="false">IFERROR(INDEX(Lists!$B$2:$B$6,MATCH(I211,Lists!$A$2:$A$6,0)),0)</f>
        <v>8</v>
      </c>
      <c r="K211" s="6" t="s">
        <v>1047</v>
      </c>
      <c r="L211" s="6"/>
      <c r="M211" s="6" t="s">
        <v>942</v>
      </c>
      <c r="N211" s="6" t="s">
        <v>48</v>
      </c>
      <c r="O211" s="6" t="s">
        <v>49</v>
      </c>
      <c r="P211" s="6" t="n">
        <v>200</v>
      </c>
      <c r="Q211" s="6"/>
    </row>
    <row r="212" customFormat="false" ht="46.25" hidden="false" customHeight="false" outlineLevel="0" collapsed="false">
      <c r="A212" s="6" t="s">
        <v>1064</v>
      </c>
      <c r="B212" s="6" t="s">
        <v>51</v>
      </c>
      <c r="C212" s="6" t="s">
        <v>52</v>
      </c>
      <c r="D212" s="6" t="s">
        <v>1065</v>
      </c>
      <c r="E212" s="6" t="s">
        <v>118</v>
      </c>
      <c r="F212" s="6" t="s">
        <v>1066</v>
      </c>
      <c r="G212" s="6" t="s">
        <v>1067</v>
      </c>
      <c r="H212" s="6" t="s">
        <v>220</v>
      </c>
      <c r="I212" s="6" t="s">
        <v>509</v>
      </c>
      <c r="J212" s="6" t="n">
        <f aca="false">IFERROR(INDEX(Lists!$B$2:$B$6,MATCH(I212,Lists!$A$2:$A$6,0)),0)</f>
        <v>8</v>
      </c>
      <c r="K212" s="6" t="s">
        <v>1047</v>
      </c>
      <c r="L212" s="6"/>
      <c r="M212" s="6" t="s">
        <v>209</v>
      </c>
      <c r="N212" s="6" t="s">
        <v>48</v>
      </c>
      <c r="O212" s="6" t="s">
        <v>49</v>
      </c>
      <c r="P212" s="6" t="n">
        <v>201</v>
      </c>
      <c r="Q212" s="6"/>
    </row>
    <row r="213" customFormat="false" ht="35.05" hidden="false" customHeight="false" outlineLevel="0" collapsed="false">
      <c r="A213" s="6" t="s">
        <v>1068</v>
      </c>
      <c r="B213" s="6" t="s">
        <v>1069</v>
      </c>
      <c r="C213" s="6" t="s">
        <v>1070</v>
      </c>
      <c r="D213" s="6" t="s">
        <v>1071</v>
      </c>
      <c r="E213" s="6" t="s">
        <v>939</v>
      </c>
      <c r="F213" s="6" t="s">
        <v>1072</v>
      </c>
      <c r="G213" s="6" t="s">
        <v>1073</v>
      </c>
      <c r="H213" s="6" t="s">
        <v>220</v>
      </c>
      <c r="I213" s="6" t="s">
        <v>214</v>
      </c>
      <c r="J213" s="6" t="n">
        <f aca="false">IFERROR(INDEX(Lists!$B$2:$B$6,MATCH(I213,Lists!$A$2:$A$6,0)),0)</f>
        <v>5</v>
      </c>
      <c r="K213" s="6" t="s">
        <v>1047</v>
      </c>
      <c r="L213" s="6"/>
      <c r="M213" s="6" t="s">
        <v>942</v>
      </c>
      <c r="N213" s="6" t="s">
        <v>48</v>
      </c>
      <c r="O213" s="6" t="s">
        <v>49</v>
      </c>
      <c r="P213" s="6" t="n">
        <v>205</v>
      </c>
      <c r="Q213" s="6"/>
    </row>
    <row r="214" customFormat="false" ht="35.05" hidden="false" customHeight="false" outlineLevel="0" collapsed="false">
      <c r="A214" s="6" t="s">
        <v>1074</v>
      </c>
      <c r="B214" s="6" t="s">
        <v>1069</v>
      </c>
      <c r="C214" s="6" t="s">
        <v>1070</v>
      </c>
      <c r="D214" s="6" t="s">
        <v>1075</v>
      </c>
      <c r="E214" s="6" t="s">
        <v>939</v>
      </c>
      <c r="F214" s="6" t="s">
        <v>1076</v>
      </c>
      <c r="G214" s="6" t="s">
        <v>1077</v>
      </c>
      <c r="H214" s="6" t="s">
        <v>220</v>
      </c>
      <c r="I214" s="6" t="s">
        <v>57</v>
      </c>
      <c r="J214" s="6" t="n">
        <f aca="false">IFERROR(INDEX(Lists!$B$2:$B$6,MATCH(I214,Lists!$A$2:$A$6,0)),0)</f>
        <v>3</v>
      </c>
      <c r="K214" s="6" t="s">
        <v>1047</v>
      </c>
      <c r="L214" s="6"/>
      <c r="M214" s="6" t="s">
        <v>1078</v>
      </c>
      <c r="N214" s="6" t="s">
        <v>48</v>
      </c>
      <c r="O214" s="6" t="s">
        <v>49</v>
      </c>
      <c r="P214" s="6" t="n">
        <v>206</v>
      </c>
      <c r="Q214" s="6"/>
    </row>
    <row r="215" customFormat="false" ht="46.25" hidden="false" customHeight="false" outlineLevel="0" collapsed="false">
      <c r="A215" s="6" t="s">
        <v>1079</v>
      </c>
      <c r="B215" s="6" t="s">
        <v>1069</v>
      </c>
      <c r="C215" s="6" t="s">
        <v>1070</v>
      </c>
      <c r="D215" s="6" t="s">
        <v>1080</v>
      </c>
      <c r="E215" s="6" t="s">
        <v>924</v>
      </c>
      <c r="F215" s="6" t="s">
        <v>1081</v>
      </c>
      <c r="G215" s="6" t="s">
        <v>1082</v>
      </c>
      <c r="H215" s="6" t="s">
        <v>220</v>
      </c>
      <c r="I215" s="6" t="s">
        <v>214</v>
      </c>
      <c r="J215" s="6" t="n">
        <f aca="false">IFERROR(INDEX(Lists!$B$2:$B$6,MATCH(I215,Lists!$A$2:$A$6,0)),0)</f>
        <v>5</v>
      </c>
      <c r="K215" s="6" t="s">
        <v>1047</v>
      </c>
      <c r="L215" s="6"/>
      <c r="M215" s="6" t="s">
        <v>942</v>
      </c>
      <c r="N215" s="6" t="s">
        <v>48</v>
      </c>
      <c r="O215" s="6" t="s">
        <v>49</v>
      </c>
      <c r="P215" s="6" t="n">
        <v>207</v>
      </c>
      <c r="Q215" s="6"/>
    </row>
    <row r="216" customFormat="false" ht="35.05" hidden="false" customHeight="false" outlineLevel="0" collapsed="false">
      <c r="A216" s="6" t="s">
        <v>1083</v>
      </c>
      <c r="B216" s="6" t="s">
        <v>1069</v>
      </c>
      <c r="C216" s="6" t="s">
        <v>1070</v>
      </c>
      <c r="D216" s="6" t="s">
        <v>1084</v>
      </c>
      <c r="E216" s="6" t="s">
        <v>939</v>
      </c>
      <c r="F216" s="6" t="s">
        <v>1085</v>
      </c>
      <c r="G216" s="6" t="s">
        <v>1086</v>
      </c>
      <c r="H216" s="6" t="s">
        <v>220</v>
      </c>
      <c r="I216" s="6" t="s">
        <v>44</v>
      </c>
      <c r="J216" s="6" t="n">
        <f aca="false">IFERROR(INDEX(Lists!$B$2:$B$6,MATCH(I216,Lists!$A$2:$A$6,0)),0)</f>
        <v>2</v>
      </c>
      <c r="K216" s="6" t="s">
        <v>1047</v>
      </c>
      <c r="L216" s="6"/>
      <c r="M216" s="6" t="s">
        <v>942</v>
      </c>
      <c r="N216" s="6" t="s">
        <v>48</v>
      </c>
      <c r="O216" s="6" t="s">
        <v>49</v>
      </c>
      <c r="P216" s="6" t="n">
        <v>208</v>
      </c>
      <c r="Q216" s="6"/>
    </row>
    <row r="217" customFormat="false" ht="46.25" hidden="false" customHeight="false" outlineLevel="0" collapsed="false">
      <c r="A217" s="6" t="s">
        <v>1087</v>
      </c>
      <c r="B217" s="6" t="s">
        <v>1069</v>
      </c>
      <c r="C217" s="6" t="s">
        <v>1070</v>
      </c>
      <c r="D217" s="6" t="s">
        <v>1088</v>
      </c>
      <c r="E217" s="6" t="s">
        <v>924</v>
      </c>
      <c r="F217" s="6" t="s">
        <v>1089</v>
      </c>
      <c r="G217" s="6" t="s">
        <v>1090</v>
      </c>
      <c r="H217" s="6" t="s">
        <v>587</v>
      </c>
      <c r="I217" s="6" t="s">
        <v>57</v>
      </c>
      <c r="J217" s="6" t="n">
        <f aca="false">IFERROR(INDEX(Lists!$B$2:$B$6,MATCH(I217,Lists!$A$2:$A$6,0)),0)</f>
        <v>3</v>
      </c>
      <c r="K217" s="6" t="s">
        <v>1047</v>
      </c>
      <c r="L217" s="6"/>
      <c r="M217" s="6" t="s">
        <v>1091</v>
      </c>
      <c r="N217" s="6" t="s">
        <v>48</v>
      </c>
      <c r="O217" s="6" t="s">
        <v>49</v>
      </c>
      <c r="P217" s="6" t="n">
        <v>209</v>
      </c>
      <c r="Q217" s="6"/>
    </row>
    <row r="218" customFormat="false" ht="46.25" hidden="false" customHeight="false" outlineLevel="0" collapsed="false">
      <c r="A218" s="6" t="s">
        <v>1092</v>
      </c>
      <c r="B218" s="6" t="s">
        <v>836</v>
      </c>
      <c r="C218" s="6" t="s">
        <v>837</v>
      </c>
      <c r="D218" s="6" t="s">
        <v>1093</v>
      </c>
      <c r="E218" s="6" t="s">
        <v>40</v>
      </c>
      <c r="F218" s="6" t="s">
        <v>1094</v>
      </c>
      <c r="G218" s="6" t="s">
        <v>1095</v>
      </c>
      <c r="H218" s="6" t="s">
        <v>220</v>
      </c>
      <c r="I218" s="6" t="s">
        <v>509</v>
      </c>
      <c r="J218" s="6" t="n">
        <f aca="false">IFERROR(INDEX(Lists!$B$2:$B$6,MATCH(I218,Lists!$A$2:$A$6,0)),0)</f>
        <v>8</v>
      </c>
      <c r="K218" s="6" t="s">
        <v>1047</v>
      </c>
      <c r="L218" s="6"/>
      <c r="M218" s="6"/>
      <c r="N218" s="6" t="s">
        <v>48</v>
      </c>
      <c r="O218" s="6" t="s">
        <v>49</v>
      </c>
      <c r="P218" s="6" t="n">
        <v>204</v>
      </c>
      <c r="Q218" s="6"/>
    </row>
    <row r="219" customFormat="false" ht="35.05" hidden="false" customHeight="false" outlineLevel="0" collapsed="false">
      <c r="A219" s="6" t="s">
        <v>1096</v>
      </c>
      <c r="B219" s="6" t="s">
        <v>1097</v>
      </c>
      <c r="C219" s="6" t="s">
        <v>1098</v>
      </c>
      <c r="D219" s="6" t="s">
        <v>1099</v>
      </c>
      <c r="E219" s="6" t="s">
        <v>1100</v>
      </c>
      <c r="F219" s="6" t="s">
        <v>1101</v>
      </c>
      <c r="G219" s="6" t="s">
        <v>1102</v>
      </c>
      <c r="H219" s="6" t="s">
        <v>220</v>
      </c>
      <c r="I219" s="6" t="s">
        <v>214</v>
      </c>
      <c r="J219" s="6" t="n">
        <f aca="false">IFERROR(INDEX(Lists!$B$2:$B$6,MATCH(I219,Lists!$A$2:$A$6,0)),0)</f>
        <v>5</v>
      </c>
      <c r="K219" s="6" t="s">
        <v>1047</v>
      </c>
      <c r="L219" s="6"/>
      <c r="M219" s="6" t="s">
        <v>1103</v>
      </c>
      <c r="N219" s="6" t="s">
        <v>48</v>
      </c>
      <c r="O219" s="6" t="s">
        <v>49</v>
      </c>
      <c r="P219" s="6" t="n">
        <v>211</v>
      </c>
      <c r="Q219" s="6"/>
    </row>
    <row r="220" customFormat="false" ht="46.25" hidden="false" customHeight="false" outlineLevel="0" collapsed="false">
      <c r="A220" s="6" t="s">
        <v>1104</v>
      </c>
      <c r="B220" s="6" t="s">
        <v>1097</v>
      </c>
      <c r="C220" s="6" t="s">
        <v>1098</v>
      </c>
      <c r="D220" s="6" t="s">
        <v>1105</v>
      </c>
      <c r="E220" s="6" t="s">
        <v>1100</v>
      </c>
      <c r="F220" s="6" t="s">
        <v>1106</v>
      </c>
      <c r="G220" s="6" t="s">
        <v>1107</v>
      </c>
      <c r="H220" s="6" t="s">
        <v>587</v>
      </c>
      <c r="I220" s="6" t="s">
        <v>57</v>
      </c>
      <c r="J220" s="6" t="n">
        <f aca="false">IFERROR(INDEX(Lists!$B$2:$B$6,MATCH(I220,Lists!$A$2:$A$6,0)),0)</f>
        <v>3</v>
      </c>
      <c r="K220" s="6" t="s">
        <v>1047</v>
      </c>
      <c r="L220" s="6"/>
      <c r="M220" s="6" t="s">
        <v>1108</v>
      </c>
      <c r="N220" s="6" t="s">
        <v>48</v>
      </c>
      <c r="O220" s="6" t="s">
        <v>49</v>
      </c>
      <c r="P220" s="6" t="n">
        <v>212</v>
      </c>
      <c r="Q220" s="6"/>
    </row>
    <row r="221" customFormat="false" ht="46.25" hidden="false" customHeight="false" outlineLevel="0" collapsed="false">
      <c r="A221" s="6" t="s">
        <v>1109</v>
      </c>
      <c r="B221" s="6" t="s">
        <v>1097</v>
      </c>
      <c r="C221" s="6" t="s">
        <v>1098</v>
      </c>
      <c r="D221" s="6" t="s">
        <v>1110</v>
      </c>
      <c r="E221" s="6" t="s">
        <v>1100</v>
      </c>
      <c r="F221" s="6" t="s">
        <v>1111</v>
      </c>
      <c r="G221" s="6" t="s">
        <v>1112</v>
      </c>
      <c r="H221" s="6" t="s">
        <v>220</v>
      </c>
      <c r="I221" s="6" t="s">
        <v>44</v>
      </c>
      <c r="J221" s="6" t="n">
        <f aca="false">IFERROR(INDEX(Lists!$B$2:$B$6,MATCH(I221,Lists!$A$2:$A$6,0)),0)</f>
        <v>2</v>
      </c>
      <c r="K221" s="6" t="s">
        <v>1047</v>
      </c>
      <c r="L221" s="6"/>
      <c r="M221" s="6" t="s">
        <v>1103</v>
      </c>
      <c r="N221" s="6" t="s">
        <v>48</v>
      </c>
      <c r="O221" s="6" t="s">
        <v>49</v>
      </c>
      <c r="P221" s="6" t="n">
        <v>213</v>
      </c>
      <c r="Q221" s="6"/>
    </row>
    <row r="222" customFormat="false" ht="35.05" hidden="false" customHeight="false" outlineLevel="0" collapsed="false">
      <c r="A222" s="6" t="s">
        <v>1113</v>
      </c>
      <c r="B222" s="6" t="s">
        <v>1097</v>
      </c>
      <c r="C222" s="6" t="s">
        <v>1098</v>
      </c>
      <c r="D222" s="6" t="s">
        <v>1114</v>
      </c>
      <c r="E222" s="6" t="s">
        <v>1100</v>
      </c>
      <c r="F222" s="6" t="s">
        <v>1115</v>
      </c>
      <c r="G222" s="6" t="s">
        <v>1116</v>
      </c>
      <c r="H222" s="6" t="s">
        <v>587</v>
      </c>
      <c r="I222" s="6" t="s">
        <v>57</v>
      </c>
      <c r="J222" s="6" t="n">
        <f aca="false">IFERROR(INDEX(Lists!$B$2:$B$6,MATCH(I222,Lists!$A$2:$A$6,0)),0)</f>
        <v>3</v>
      </c>
      <c r="K222" s="6" t="s">
        <v>1047</v>
      </c>
      <c r="L222" s="6"/>
      <c r="M222" s="6" t="s">
        <v>1108</v>
      </c>
      <c r="N222" s="6" t="s">
        <v>48</v>
      </c>
      <c r="O222" s="6" t="s">
        <v>49</v>
      </c>
      <c r="P222" s="6" t="n">
        <v>214</v>
      </c>
      <c r="Q222" s="6"/>
    </row>
    <row r="223" customFormat="false" ht="46.25" hidden="false" customHeight="false" outlineLevel="0" collapsed="false">
      <c r="A223" s="6" t="s">
        <v>1117</v>
      </c>
      <c r="B223" s="6" t="s">
        <v>1118</v>
      </c>
      <c r="C223" s="6" t="s">
        <v>1119</v>
      </c>
      <c r="D223" s="6" t="s">
        <v>1120</v>
      </c>
      <c r="E223" s="6" t="s">
        <v>108</v>
      </c>
      <c r="F223" s="6" t="s">
        <v>1121</v>
      </c>
      <c r="G223" s="6" t="s">
        <v>1122</v>
      </c>
      <c r="H223" s="6" t="s">
        <v>587</v>
      </c>
      <c r="I223" s="6" t="s">
        <v>509</v>
      </c>
      <c r="J223" s="6" t="n">
        <f aca="false">IFERROR(INDEX(Lists!$B$2:$B$6,MATCH(I223,Lists!$A$2:$A$6,0)),0)</f>
        <v>8</v>
      </c>
      <c r="K223" s="6" t="s">
        <v>1047</v>
      </c>
      <c r="L223" s="6"/>
      <c r="M223" s="6" t="s">
        <v>101</v>
      </c>
      <c r="N223" s="6" t="s">
        <v>48</v>
      </c>
      <c r="O223" s="6" t="s">
        <v>49</v>
      </c>
      <c r="P223" s="6" t="n">
        <v>195</v>
      </c>
      <c r="Q223" s="6"/>
    </row>
    <row r="224" customFormat="false" ht="46.25" hidden="false" customHeight="false" outlineLevel="0" collapsed="false">
      <c r="A224" s="6" t="s">
        <v>1123</v>
      </c>
      <c r="B224" s="6" t="s">
        <v>1118</v>
      </c>
      <c r="C224" s="6" t="s">
        <v>1119</v>
      </c>
      <c r="D224" s="6" t="s">
        <v>1124</v>
      </c>
      <c r="E224" s="6" t="s">
        <v>118</v>
      </c>
      <c r="F224" s="6" t="s">
        <v>1125</v>
      </c>
      <c r="G224" s="6" t="s">
        <v>1126</v>
      </c>
      <c r="H224" s="6" t="s">
        <v>587</v>
      </c>
      <c r="I224" s="6" t="s">
        <v>509</v>
      </c>
      <c r="J224" s="6" t="n">
        <f aca="false">IFERROR(INDEX(Lists!$B$2:$B$6,MATCH(I224,Lists!$A$2:$A$6,0)),0)</f>
        <v>8</v>
      </c>
      <c r="K224" s="6" t="s">
        <v>1047</v>
      </c>
      <c r="L224" s="6"/>
      <c r="M224" s="6" t="s">
        <v>262</v>
      </c>
      <c r="N224" s="6" t="s">
        <v>48</v>
      </c>
      <c r="O224" s="6" t="s">
        <v>49</v>
      </c>
      <c r="P224" s="6" t="n">
        <v>196</v>
      </c>
      <c r="Q224" s="6"/>
    </row>
    <row r="225" customFormat="false" ht="46.25" hidden="false" customHeight="false" outlineLevel="0" collapsed="false">
      <c r="A225" s="6" t="s">
        <v>1127</v>
      </c>
      <c r="B225" s="6" t="s">
        <v>1118</v>
      </c>
      <c r="C225" s="6" t="s">
        <v>1119</v>
      </c>
      <c r="D225" s="6" t="s">
        <v>1128</v>
      </c>
      <c r="E225" s="6" t="s">
        <v>400</v>
      </c>
      <c r="F225" s="6" t="s">
        <v>1129</v>
      </c>
      <c r="G225" s="6" t="s">
        <v>1130</v>
      </c>
      <c r="H225" s="6" t="s">
        <v>587</v>
      </c>
      <c r="I225" s="6" t="s">
        <v>214</v>
      </c>
      <c r="J225" s="6" t="n">
        <f aca="false">IFERROR(INDEX(Lists!$B$2:$B$6,MATCH(I225,Lists!$A$2:$A$6,0)),0)</f>
        <v>5</v>
      </c>
      <c r="K225" s="6" t="s">
        <v>1047</v>
      </c>
      <c r="L225" s="6"/>
      <c r="M225" s="6" t="s">
        <v>407</v>
      </c>
      <c r="N225" s="6" t="s">
        <v>48</v>
      </c>
      <c r="O225" s="6" t="s">
        <v>49</v>
      </c>
      <c r="P225" s="6" t="n">
        <v>197</v>
      </c>
      <c r="Q225" s="6"/>
    </row>
    <row r="226" customFormat="false" ht="35.05" hidden="false" customHeight="false" outlineLevel="0" collapsed="false">
      <c r="A226" s="6" t="s">
        <v>1131</v>
      </c>
      <c r="B226" s="6" t="s">
        <v>1118</v>
      </c>
      <c r="C226" s="6" t="s">
        <v>1119</v>
      </c>
      <c r="D226" s="6" t="s">
        <v>1132</v>
      </c>
      <c r="E226" s="6" t="s">
        <v>40</v>
      </c>
      <c r="F226" s="6" t="s">
        <v>1133</v>
      </c>
      <c r="G226" s="6" t="s">
        <v>1134</v>
      </c>
      <c r="H226" s="6" t="s">
        <v>587</v>
      </c>
      <c r="I226" s="6" t="s">
        <v>57</v>
      </c>
      <c r="J226" s="6" t="n">
        <f aca="false">IFERROR(INDEX(Lists!$B$2:$B$6,MATCH(I226,Lists!$A$2:$A$6,0)),0)</f>
        <v>3</v>
      </c>
      <c r="K226" s="6" t="s">
        <v>1047</v>
      </c>
      <c r="L226" s="6"/>
      <c r="M226" s="6" t="s">
        <v>397</v>
      </c>
      <c r="N226" s="6" t="s">
        <v>48</v>
      </c>
      <c r="O226" s="6" t="s">
        <v>49</v>
      </c>
      <c r="P226" s="6" t="n">
        <v>198</v>
      </c>
      <c r="Q226" s="6"/>
    </row>
    <row r="227" customFormat="false" ht="91" hidden="false" customHeight="false" outlineLevel="0" collapsed="false">
      <c r="A227" s="6" t="s">
        <v>1135</v>
      </c>
      <c r="B227" s="6" t="s">
        <v>88</v>
      </c>
      <c r="C227" s="6" t="s">
        <v>89</v>
      </c>
      <c r="D227" s="6" t="s">
        <v>1136</v>
      </c>
      <c r="E227" s="6" t="s">
        <v>40</v>
      </c>
      <c r="F227" s="6" t="s">
        <v>1137</v>
      </c>
      <c r="G227" s="6" t="s">
        <v>1138</v>
      </c>
      <c r="H227" s="6" t="s">
        <v>220</v>
      </c>
      <c r="I227" s="6" t="s">
        <v>57</v>
      </c>
      <c r="J227" s="6" t="n">
        <f aca="false">IFERROR(INDEX(Lists!$B$2:$B$6,MATCH(I227,Lists!$A$2:$A$6,0)),0)</f>
        <v>3</v>
      </c>
      <c r="K227" s="6" t="s">
        <v>1047</v>
      </c>
      <c r="L227" s="6"/>
      <c r="M227" s="6" t="s">
        <v>1139</v>
      </c>
      <c r="N227" s="6" t="s">
        <v>48</v>
      </c>
      <c r="O227" s="6" t="s">
        <v>49</v>
      </c>
      <c r="P227" s="6" t="n">
        <v>226</v>
      </c>
      <c r="Q227" s="6"/>
    </row>
    <row r="228" customFormat="false" ht="46.25" hidden="false" customHeight="false" outlineLevel="0" collapsed="false">
      <c r="A228" s="6" t="s">
        <v>1140</v>
      </c>
      <c r="B228" s="6" t="s">
        <v>88</v>
      </c>
      <c r="C228" s="6" t="s">
        <v>89</v>
      </c>
      <c r="D228" s="6" t="s">
        <v>1141</v>
      </c>
      <c r="E228" s="6" t="s">
        <v>54</v>
      </c>
      <c r="F228" s="6" t="s">
        <v>1142</v>
      </c>
      <c r="G228" s="6" t="s">
        <v>1143</v>
      </c>
      <c r="H228" s="6" t="s">
        <v>220</v>
      </c>
      <c r="I228" s="6" t="s">
        <v>214</v>
      </c>
      <c r="J228" s="6" t="n">
        <f aca="false">IFERROR(INDEX(Lists!$B$2:$B$6,MATCH(I228,Lists!$A$2:$A$6,0)),0)</f>
        <v>5</v>
      </c>
      <c r="K228" s="6" t="s">
        <v>1047</v>
      </c>
      <c r="L228" s="6"/>
      <c r="M228" s="6"/>
      <c r="N228" s="6" t="s">
        <v>48</v>
      </c>
      <c r="O228" s="6" t="s">
        <v>49</v>
      </c>
      <c r="P228" s="6" t="n">
        <v>227</v>
      </c>
      <c r="Q228" s="6"/>
    </row>
    <row r="229" customFormat="false" ht="46.25" hidden="false" customHeight="false" outlineLevel="0" collapsed="false">
      <c r="A229" s="6" t="s">
        <v>1144</v>
      </c>
      <c r="B229" s="6" t="s">
        <v>88</v>
      </c>
      <c r="C229" s="6" t="s">
        <v>89</v>
      </c>
      <c r="D229" s="6" t="s">
        <v>1145</v>
      </c>
      <c r="E229" s="6" t="s">
        <v>40</v>
      </c>
      <c r="F229" s="6" t="s">
        <v>1146</v>
      </c>
      <c r="G229" s="6" t="s">
        <v>1147</v>
      </c>
      <c r="H229" s="6" t="s">
        <v>587</v>
      </c>
      <c r="I229" s="6" t="s">
        <v>57</v>
      </c>
      <c r="J229" s="6" t="n">
        <f aca="false">IFERROR(INDEX(Lists!$B$2:$B$6,MATCH(I229,Lists!$A$2:$A$6,0)),0)</f>
        <v>3</v>
      </c>
      <c r="K229" s="6" t="s">
        <v>1047</v>
      </c>
      <c r="L229" s="6"/>
      <c r="M229" s="6" t="s">
        <v>1139</v>
      </c>
      <c r="N229" s="6" t="s">
        <v>48</v>
      </c>
      <c r="O229" s="6" t="s">
        <v>49</v>
      </c>
      <c r="P229" s="6" t="n">
        <v>228</v>
      </c>
      <c r="Q229" s="6"/>
    </row>
  </sheetData>
  <dataValidations count="4">
    <dataValidation allowBlank="false" errorStyle="stop" operator="between" showDropDown="false" showErrorMessage="false" showInputMessage="false" sqref="H2:H229" type="list">
      <formula1>Lists!$D$2:$D$4</formula1>
      <formula2>0</formula2>
    </dataValidation>
    <dataValidation allowBlank="false" errorStyle="stop" operator="between" showDropDown="false" showErrorMessage="false" showInputMessage="false" sqref="I2:I229" type="list">
      <formula1>Lists!$A$2:$A$6</formula1>
      <formula2>0</formula2>
    </dataValidation>
    <dataValidation allowBlank="false" errorStyle="stop" operator="between" showDropDown="false" showErrorMessage="false" showInputMessage="false" sqref="K2:K229" type="list">
      <formula1>Lists!$F$2:$F$6</formula1>
      <formula2>0</formula2>
    </dataValidation>
    <dataValidation allowBlank="false" errorStyle="stop" operator="between" showDropDown="false" showErrorMessage="false" showInputMessage="false" sqref="N2:N229" type="list">
      <formula1>Lists!$J$2:$J$7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7" min="3" style="0" width="9"/>
    <col collapsed="false" customWidth="true" hidden="false" outlineLevel="0" max="9" min="8" style="0" width="13"/>
    <col collapsed="false" customWidth="true" hidden="false" outlineLevel="0" max="10" min="10" style="0" width="12"/>
  </cols>
  <sheetData>
    <row r="1" customFormat="false" ht="17.35" hidden="false" customHeight="false" outlineLevel="0" collapsed="false">
      <c r="A1" s="7" t="s">
        <v>1148</v>
      </c>
    </row>
    <row r="3" customFormat="false" ht="15" hidden="false" customHeight="false" outlineLevel="0" collapsed="false">
      <c r="A3" s="8" t="s">
        <v>30</v>
      </c>
      <c r="B3" s="8" t="s">
        <v>23</v>
      </c>
      <c r="C3" s="8" t="s">
        <v>1149</v>
      </c>
      <c r="D3" s="8" t="s">
        <v>43</v>
      </c>
      <c r="E3" s="8" t="s">
        <v>220</v>
      </c>
      <c r="F3" s="8" t="s">
        <v>587</v>
      </c>
      <c r="G3" s="8" t="s">
        <v>29</v>
      </c>
      <c r="H3" s="8" t="s">
        <v>1150</v>
      </c>
      <c r="I3" s="8" t="s">
        <v>1151</v>
      </c>
      <c r="J3" s="8" t="s">
        <v>1152</v>
      </c>
    </row>
    <row r="4" customFormat="false" ht="15" hidden="false" customHeight="false" outlineLevel="0" collapsed="false">
      <c r="A4" s="9" t="s">
        <v>45</v>
      </c>
      <c r="B4" s="9" t="s">
        <v>1153</v>
      </c>
      <c r="C4" s="9" t="n">
        <f aca="false">COUNTIFS(Backlog!$K$2:$K$229,A4)</f>
        <v>110</v>
      </c>
      <c r="D4" s="9" t="n">
        <f aca="false">COUNTIFS(Backlog!$K$2:$K$229,A4,Backlog!$H$2:$H$229,"Must")</f>
        <v>100</v>
      </c>
      <c r="E4" s="9" t="n">
        <f aca="false">COUNTIFS(Backlog!$K$2:$K$229,A4,Backlog!$H$2:$H$229,"Should")</f>
        <v>10</v>
      </c>
      <c r="F4" s="9" t="n">
        <f aca="false">COUNTIFS(Backlog!$K$2:$K$229,A4,Backlog!$H$2:$H$229,"Could")</f>
        <v>0</v>
      </c>
      <c r="G4" s="9" t="n">
        <f aca="false">SUMIFS(Backlog!$J$2:$J$229,Backlog!$K$2:$K$229,A4)</f>
        <v>264</v>
      </c>
      <c r="H4" s="9" t="n">
        <f aca="false">COUNTIFS(Backlog!$K$2:$K$229,A4,Backlog!$N$2:$N$229,"Done")</f>
        <v>0</v>
      </c>
      <c r="I4" s="9" t="n">
        <f aca="false">SUMIFS(Backlog!$J$2:$J$229,Backlog!$K$2:$K$229,A4,Backlog!$N$2:$N$229,"Done")</f>
        <v>0</v>
      </c>
      <c r="J4" s="10" t="n">
        <f aca="false">IF(G4=0,0,I4/G4)</f>
        <v>0</v>
      </c>
    </row>
    <row r="5" customFormat="false" ht="15" hidden="false" customHeight="false" outlineLevel="0" collapsed="false">
      <c r="A5" s="9" t="s">
        <v>588</v>
      </c>
      <c r="B5" s="9" t="s">
        <v>1154</v>
      </c>
      <c r="C5" s="9" t="n">
        <f aca="false">COUNTIFS(Backlog!$K$2:$K$229,A5)</f>
        <v>51</v>
      </c>
      <c r="D5" s="9" t="n">
        <f aca="false">COUNTIFS(Backlog!$K$2:$K$229,A5,Backlog!$H$2:$H$229,"Must")</f>
        <v>28</v>
      </c>
      <c r="E5" s="9" t="n">
        <f aca="false">COUNTIFS(Backlog!$K$2:$K$229,A5,Backlog!$H$2:$H$229,"Should")</f>
        <v>18</v>
      </c>
      <c r="F5" s="9" t="n">
        <f aca="false">COUNTIFS(Backlog!$K$2:$K$229,A5,Backlog!$H$2:$H$229,"Could")</f>
        <v>5</v>
      </c>
      <c r="G5" s="9" t="n">
        <f aca="false">SUMIFS(Backlog!$J$2:$J$229,Backlog!$K$2:$K$229,A5)</f>
        <v>130</v>
      </c>
      <c r="H5" s="9" t="n">
        <f aca="false">COUNTIFS(Backlog!$K$2:$K$229,A5,Backlog!$N$2:$N$229,"Done")</f>
        <v>0</v>
      </c>
      <c r="I5" s="9" t="n">
        <f aca="false">SUMIFS(Backlog!$J$2:$J$229,Backlog!$K$2:$K$229,A5,Backlog!$N$2:$N$229,"Done")</f>
        <v>0</v>
      </c>
      <c r="J5" s="10" t="n">
        <f aca="false">IF(G5=0,0,I5/G5)</f>
        <v>0</v>
      </c>
    </row>
    <row r="6" customFormat="false" ht="15" hidden="false" customHeight="false" outlineLevel="0" collapsed="false">
      <c r="A6" s="9" t="s">
        <v>841</v>
      </c>
      <c r="B6" s="9" t="s">
        <v>1155</v>
      </c>
      <c r="C6" s="9" t="n">
        <f aca="false">COUNTIFS(Backlog!$K$2:$K$229,A6)</f>
        <v>6</v>
      </c>
      <c r="D6" s="9" t="n">
        <f aca="false">COUNTIFS(Backlog!$K$2:$K$229,A6,Backlog!$H$2:$H$229,"Must")</f>
        <v>6</v>
      </c>
      <c r="E6" s="9" t="n">
        <f aca="false">COUNTIFS(Backlog!$K$2:$K$229,A6,Backlog!$H$2:$H$229,"Should")</f>
        <v>0</v>
      </c>
      <c r="F6" s="9" t="n">
        <f aca="false">COUNTIFS(Backlog!$K$2:$K$229,A6,Backlog!$H$2:$H$229,"Could")</f>
        <v>0</v>
      </c>
      <c r="G6" s="9" t="n">
        <f aca="false">SUMIFS(Backlog!$J$2:$J$229,Backlog!$K$2:$K$229,A6)</f>
        <v>25</v>
      </c>
      <c r="H6" s="9" t="n">
        <f aca="false">COUNTIFS(Backlog!$K$2:$K$229,A6,Backlog!$N$2:$N$229,"Done")</f>
        <v>0</v>
      </c>
      <c r="I6" s="9" t="n">
        <f aca="false">SUMIFS(Backlog!$J$2:$J$229,Backlog!$K$2:$K$229,A6,Backlog!$N$2:$N$229,"Done")</f>
        <v>0</v>
      </c>
      <c r="J6" s="10" t="n">
        <f aca="false">IF(G6=0,0,I6/G6)</f>
        <v>0</v>
      </c>
    </row>
    <row r="7" customFormat="false" ht="15" hidden="false" customHeight="false" outlineLevel="0" collapsed="false">
      <c r="A7" s="9" t="s">
        <v>871</v>
      </c>
      <c r="B7" s="9" t="s">
        <v>1156</v>
      </c>
      <c r="C7" s="9" t="n">
        <f aca="false">COUNTIFS(Backlog!$K$2:$K$229,A7)</f>
        <v>38</v>
      </c>
      <c r="D7" s="9" t="n">
        <f aca="false">COUNTIFS(Backlog!$K$2:$K$229,A7,Backlog!$H$2:$H$229,"Must")</f>
        <v>11</v>
      </c>
      <c r="E7" s="9" t="n">
        <f aca="false">COUNTIFS(Backlog!$K$2:$K$229,A7,Backlog!$H$2:$H$229,"Should")</f>
        <v>17</v>
      </c>
      <c r="F7" s="9" t="n">
        <f aca="false">COUNTIFS(Backlog!$K$2:$K$229,A7,Backlog!$H$2:$H$229,"Could")</f>
        <v>10</v>
      </c>
      <c r="G7" s="9" t="n">
        <f aca="false">SUMIFS(Backlog!$J$2:$J$229,Backlog!$K$2:$K$229,A7)</f>
        <v>117</v>
      </c>
      <c r="H7" s="9" t="n">
        <f aca="false">COUNTIFS(Backlog!$K$2:$K$229,A7,Backlog!$N$2:$N$229,"Done")</f>
        <v>0</v>
      </c>
      <c r="I7" s="9" t="n">
        <f aca="false">SUMIFS(Backlog!$J$2:$J$229,Backlog!$K$2:$K$229,A7,Backlog!$N$2:$N$229,"Done")</f>
        <v>0</v>
      </c>
      <c r="J7" s="10" t="n">
        <f aca="false">IF(G7=0,0,I7/G7)</f>
        <v>0</v>
      </c>
    </row>
    <row r="8" customFormat="false" ht="15" hidden="false" customHeight="false" outlineLevel="0" collapsed="false">
      <c r="A8" s="9" t="s">
        <v>1047</v>
      </c>
      <c r="B8" s="9" t="s">
        <v>1157</v>
      </c>
      <c r="C8" s="9" t="n">
        <f aca="false">COUNTIFS(Backlog!$K$2:$K$229,A8)</f>
        <v>23</v>
      </c>
      <c r="D8" s="9" t="n">
        <f aca="false">COUNTIFS(Backlog!$K$2:$K$229,A8,Backlog!$H$2:$H$229,"Must")</f>
        <v>0</v>
      </c>
      <c r="E8" s="9" t="n">
        <f aca="false">COUNTIFS(Backlog!$K$2:$K$229,A8,Backlog!$H$2:$H$229,"Should")</f>
        <v>13</v>
      </c>
      <c r="F8" s="9" t="n">
        <f aca="false">COUNTIFS(Backlog!$K$2:$K$229,A8,Backlog!$H$2:$H$229,"Could")</f>
        <v>10</v>
      </c>
      <c r="G8" s="9" t="n">
        <f aca="false">SUMIFS(Backlog!$J$2:$J$229,Backlog!$K$2:$K$229,A8)</f>
        <v>106</v>
      </c>
      <c r="H8" s="9" t="n">
        <f aca="false">COUNTIFS(Backlog!$K$2:$K$229,A8,Backlog!$N$2:$N$229,"Done")</f>
        <v>0</v>
      </c>
      <c r="I8" s="9" t="n">
        <f aca="false">SUMIFS(Backlog!$J$2:$J$229,Backlog!$K$2:$K$229,A8,Backlog!$N$2:$N$229,"Done")</f>
        <v>0</v>
      </c>
      <c r="J8" s="10" t="n">
        <f aca="false">IF(G8=0,0,I8/G8)</f>
        <v>0</v>
      </c>
    </row>
    <row r="9" customFormat="false" ht="15" hidden="false" customHeight="false" outlineLevel="0" collapsed="false">
      <c r="A9" s="11" t="s">
        <v>1158</v>
      </c>
      <c r="B9" s="11"/>
      <c r="C9" s="11" t="n">
        <f aca="false">SUM(C4:C8)</f>
        <v>228</v>
      </c>
      <c r="D9" s="11" t="n">
        <f aca="false">SUM(D4:D8)</f>
        <v>145</v>
      </c>
      <c r="E9" s="11" t="n">
        <f aca="false">SUM(E4:E8)</f>
        <v>58</v>
      </c>
      <c r="F9" s="11" t="n">
        <f aca="false">SUM(F4:F8)</f>
        <v>25</v>
      </c>
      <c r="G9" s="11" t="n">
        <f aca="false">SUM(G4:G8)</f>
        <v>642</v>
      </c>
      <c r="H9" s="11" t="n">
        <f aca="false">SUM(H4:H8)</f>
        <v>0</v>
      </c>
      <c r="I9" s="11" t="n">
        <f aca="false">SUM(I4:I8)</f>
        <v>0</v>
      </c>
      <c r="J9" s="12" t="n">
        <f aca="false">IF(G9=0,0,I9/G9)</f>
        <v>0</v>
      </c>
    </row>
    <row r="10" customFormat="false" ht="15" hidden="false" customHeight="false" outlineLevel="0" collapsed="false">
      <c r="A10" s="9"/>
      <c r="B10" s="9"/>
      <c r="C10" s="9"/>
      <c r="D10" s="9"/>
      <c r="E10" s="9"/>
      <c r="F10" s="9"/>
      <c r="G10" s="9"/>
      <c r="H10" s="9"/>
      <c r="I10" s="9"/>
      <c r="J10" s="9"/>
    </row>
    <row r="11" customFormat="false" ht="15" hidden="false" customHeight="false" outlineLevel="0" collapsed="false">
      <c r="A11" s="11" t="s">
        <v>1159</v>
      </c>
      <c r="B11" s="11"/>
      <c r="C11" s="13" t="n">
        <f aca="false">G4/8</f>
        <v>33</v>
      </c>
      <c r="D11" s="11"/>
      <c r="E11" s="11"/>
      <c r="F11" s="11"/>
      <c r="G11" s="11"/>
      <c r="H11" s="11"/>
      <c r="I11" s="11"/>
      <c r="J11" s="11"/>
    </row>
    <row r="12" customFormat="false" ht="15" hidden="false" customHeight="false" outlineLevel="0" collapsed="false">
      <c r="A12" s="9"/>
      <c r="B12" s="9"/>
      <c r="C12" s="9"/>
      <c r="D12" s="9"/>
      <c r="E12" s="9"/>
      <c r="F12" s="9"/>
      <c r="G12" s="9"/>
      <c r="H12" s="9"/>
      <c r="I12" s="9"/>
      <c r="J12" s="9"/>
    </row>
    <row r="13" customFormat="false" ht="15" hidden="false" customHeight="false" outlineLevel="0" collapsed="false">
      <c r="A13" s="8" t="s">
        <v>21</v>
      </c>
      <c r="B13" s="8" t="s">
        <v>1160</v>
      </c>
      <c r="C13" s="8" t="s">
        <v>1149</v>
      </c>
      <c r="D13" s="8" t="s">
        <v>29</v>
      </c>
      <c r="E13" s="8" t="s">
        <v>1151</v>
      </c>
      <c r="F13" s="8" t="s">
        <v>1161</v>
      </c>
      <c r="G13" s="9"/>
      <c r="H13" s="9"/>
      <c r="I13" s="9"/>
      <c r="J13" s="9"/>
    </row>
    <row r="14" customFormat="false" ht="15" hidden="false" customHeight="false" outlineLevel="0" collapsed="false">
      <c r="A14" s="9" t="s">
        <v>160</v>
      </c>
      <c r="B14" s="9" t="s">
        <v>161</v>
      </c>
      <c r="C14" s="9" t="n">
        <f aca="false">COUNTIFS(Backlog!$B$2:$B$229,A14)</f>
        <v>14</v>
      </c>
      <c r="D14" s="9" t="n">
        <f aca="false">SUMIFS(Backlog!$J$2:$J$229,Backlog!$B$2:$B$229,A14)</f>
        <v>31</v>
      </c>
      <c r="E14" s="9" t="n">
        <f aca="false">SUMIFS(Backlog!$J$2:$J$229,Backlog!$B$2:$B$229,A14,Backlog!$N$2:$N$229,"Done")</f>
        <v>0</v>
      </c>
      <c r="F14" s="10" t="n">
        <f aca="false">IF(D14=0,0,E14/D14)</f>
        <v>0</v>
      </c>
      <c r="G14" s="9"/>
      <c r="H14" s="9"/>
      <c r="I14" s="9"/>
      <c r="J14" s="9"/>
    </row>
    <row r="15" customFormat="false" ht="15" hidden="false" customHeight="false" outlineLevel="0" collapsed="false">
      <c r="A15" s="9" t="s">
        <v>193</v>
      </c>
      <c r="B15" s="9" t="s">
        <v>194</v>
      </c>
      <c r="C15" s="9" t="n">
        <f aca="false">COUNTIFS(Backlog!$B$2:$B$229,A15)</f>
        <v>8</v>
      </c>
      <c r="D15" s="9" t="n">
        <f aca="false">SUMIFS(Backlog!$J$2:$J$229,Backlog!$B$2:$B$229,A15)</f>
        <v>16</v>
      </c>
      <c r="E15" s="9" t="n">
        <f aca="false">SUMIFS(Backlog!$J$2:$J$229,Backlog!$B$2:$B$229,A15,Backlog!$N$2:$N$229,"Done")</f>
        <v>0</v>
      </c>
      <c r="F15" s="10" t="n">
        <f aca="false">IF(D15=0,0,E15/D15)</f>
        <v>0</v>
      </c>
      <c r="G15" s="9"/>
      <c r="H15" s="9"/>
      <c r="I15" s="9"/>
      <c r="J15" s="9"/>
    </row>
    <row r="16" customFormat="false" ht="15" hidden="false" customHeight="false" outlineLevel="0" collapsed="false">
      <c r="A16" s="9" t="s">
        <v>243</v>
      </c>
      <c r="B16" s="9" t="s">
        <v>244</v>
      </c>
      <c r="C16" s="9" t="n">
        <f aca="false">COUNTIFS(Backlog!$B$2:$B$229,A16)</f>
        <v>11</v>
      </c>
      <c r="D16" s="9" t="n">
        <f aca="false">SUMIFS(Backlog!$J$2:$J$229,Backlog!$B$2:$B$229,A16)</f>
        <v>26</v>
      </c>
      <c r="E16" s="9" t="n">
        <f aca="false">SUMIFS(Backlog!$J$2:$J$229,Backlog!$B$2:$B$229,A16,Backlog!$N$2:$N$229,"Done")</f>
        <v>0</v>
      </c>
      <c r="F16" s="10" t="n">
        <f aca="false">IF(D16=0,0,E16/D16)</f>
        <v>0</v>
      </c>
      <c r="G16" s="9"/>
      <c r="H16" s="9"/>
      <c r="I16" s="9"/>
      <c r="J16" s="9"/>
    </row>
    <row r="17" customFormat="false" ht="15" hidden="false" customHeight="false" outlineLevel="0" collapsed="false">
      <c r="A17" s="9" t="s">
        <v>204</v>
      </c>
      <c r="B17" s="9" t="s">
        <v>205</v>
      </c>
      <c r="C17" s="9" t="n">
        <f aca="false">COUNTIFS(Backlog!$B$2:$B$229,A17)</f>
        <v>9</v>
      </c>
      <c r="D17" s="9" t="n">
        <f aca="false">SUMIFS(Backlog!$J$2:$J$229,Backlog!$B$2:$B$229,A17)</f>
        <v>25</v>
      </c>
      <c r="E17" s="9" t="n">
        <f aca="false">SUMIFS(Backlog!$J$2:$J$229,Backlog!$B$2:$B$229,A17,Backlog!$N$2:$N$229,"Done")</f>
        <v>0</v>
      </c>
      <c r="F17" s="10" t="n">
        <f aca="false">IF(D17=0,0,E17/D17)</f>
        <v>0</v>
      </c>
      <c r="G17" s="9"/>
      <c r="H17" s="9"/>
      <c r="I17" s="9"/>
      <c r="J17" s="9"/>
    </row>
    <row r="18" customFormat="false" ht="15" hidden="false" customHeight="false" outlineLevel="0" collapsed="false">
      <c r="A18" s="9" t="s">
        <v>94</v>
      </c>
      <c r="B18" s="9" t="s">
        <v>95</v>
      </c>
      <c r="C18" s="9" t="n">
        <f aca="false">COUNTIFS(Backlog!$B$2:$B$229,A18)</f>
        <v>19</v>
      </c>
      <c r="D18" s="9" t="n">
        <f aca="false">SUMIFS(Backlog!$J$2:$J$229,Backlog!$B$2:$B$229,A18)</f>
        <v>52</v>
      </c>
      <c r="E18" s="9" t="n">
        <f aca="false">SUMIFS(Backlog!$J$2:$J$229,Backlog!$B$2:$B$229,A18,Backlog!$N$2:$N$229,"Done")</f>
        <v>0</v>
      </c>
      <c r="F18" s="10" t="n">
        <f aca="false">IF(D18=0,0,E18/D18)</f>
        <v>0</v>
      </c>
      <c r="G18" s="9"/>
      <c r="H18" s="9"/>
      <c r="I18" s="9"/>
      <c r="J18" s="9"/>
    </row>
    <row r="19" customFormat="false" ht="15" hidden="false" customHeight="false" outlineLevel="0" collapsed="false">
      <c r="A19" s="9" t="s">
        <v>131</v>
      </c>
      <c r="B19" s="9" t="s">
        <v>132</v>
      </c>
      <c r="C19" s="9" t="n">
        <f aca="false">COUNTIFS(Backlog!$B$2:$B$229,A19)</f>
        <v>7</v>
      </c>
      <c r="D19" s="9" t="n">
        <f aca="false">SUMIFS(Backlog!$J$2:$J$229,Backlog!$B$2:$B$229,A19)</f>
        <v>17</v>
      </c>
      <c r="E19" s="9" t="n">
        <f aca="false">SUMIFS(Backlog!$J$2:$J$229,Backlog!$B$2:$B$229,A19,Backlog!$N$2:$N$229,"Done")</f>
        <v>0</v>
      </c>
      <c r="F19" s="10" t="n">
        <f aca="false">IF(D19=0,0,E19/D19)</f>
        <v>0</v>
      </c>
      <c r="G19" s="9"/>
      <c r="H19" s="9"/>
      <c r="I19" s="9"/>
      <c r="J19" s="9"/>
    </row>
    <row r="20" customFormat="false" ht="15" hidden="false" customHeight="false" outlineLevel="0" collapsed="false">
      <c r="A20" s="9" t="s">
        <v>318</v>
      </c>
      <c r="B20" s="9" t="s">
        <v>319</v>
      </c>
      <c r="C20" s="9" t="n">
        <f aca="false">COUNTIFS(Backlog!$B$2:$B$229,A20)</f>
        <v>9</v>
      </c>
      <c r="D20" s="9" t="n">
        <f aca="false">SUMIFS(Backlog!$J$2:$J$229,Backlog!$B$2:$B$229,A20)</f>
        <v>29</v>
      </c>
      <c r="E20" s="9" t="n">
        <f aca="false">SUMIFS(Backlog!$J$2:$J$229,Backlog!$B$2:$B$229,A20,Backlog!$N$2:$N$229,"Done")</f>
        <v>0</v>
      </c>
      <c r="F20" s="10" t="n">
        <f aca="false">IF(D20=0,0,E20/D20)</f>
        <v>0</v>
      </c>
      <c r="G20" s="9"/>
      <c r="H20" s="9"/>
      <c r="I20" s="9"/>
      <c r="J20" s="9"/>
    </row>
    <row r="21" customFormat="false" ht="15" hidden="false" customHeight="false" outlineLevel="0" collapsed="false">
      <c r="A21" s="9" t="s">
        <v>146</v>
      </c>
      <c r="B21" s="9" t="s">
        <v>147</v>
      </c>
      <c r="C21" s="9" t="n">
        <f aca="false">COUNTIFS(Backlog!$B$2:$B$229,A21)</f>
        <v>10</v>
      </c>
      <c r="D21" s="9" t="n">
        <f aca="false">SUMIFS(Backlog!$J$2:$J$229,Backlog!$B$2:$B$229,A21)</f>
        <v>27</v>
      </c>
      <c r="E21" s="9" t="n">
        <f aca="false">SUMIFS(Backlog!$J$2:$J$229,Backlog!$B$2:$B$229,A21,Backlog!$N$2:$N$229,"Done")</f>
        <v>0</v>
      </c>
      <c r="F21" s="10" t="n">
        <f aca="false">IF(D21=0,0,E21/D21)</f>
        <v>0</v>
      </c>
      <c r="G21" s="9"/>
      <c r="H21" s="9"/>
      <c r="I21" s="9"/>
      <c r="J21" s="9"/>
    </row>
    <row r="22" customFormat="false" ht="15" hidden="false" customHeight="false" outlineLevel="0" collapsed="false">
      <c r="A22" s="9" t="s">
        <v>365</v>
      </c>
      <c r="B22" s="9" t="s">
        <v>366</v>
      </c>
      <c r="C22" s="9" t="n">
        <f aca="false">COUNTIFS(Backlog!$B$2:$B$229,A22)</f>
        <v>7</v>
      </c>
      <c r="D22" s="9" t="n">
        <f aca="false">SUMIFS(Backlog!$J$2:$J$229,Backlog!$B$2:$B$229,A22)</f>
        <v>15</v>
      </c>
      <c r="E22" s="9" t="n">
        <f aca="false">SUMIFS(Backlog!$J$2:$J$229,Backlog!$B$2:$B$229,A22,Backlog!$N$2:$N$229,"Done")</f>
        <v>0</v>
      </c>
      <c r="F22" s="10" t="n">
        <f aca="false">IF(D22=0,0,E22/D22)</f>
        <v>0</v>
      </c>
      <c r="G22" s="9"/>
      <c r="H22" s="9"/>
      <c r="I22" s="9"/>
      <c r="J22" s="9"/>
    </row>
    <row r="23" customFormat="false" ht="15" hidden="false" customHeight="false" outlineLevel="0" collapsed="false">
      <c r="A23" s="9" t="s">
        <v>748</v>
      </c>
      <c r="B23" s="9" t="s">
        <v>749</v>
      </c>
      <c r="C23" s="9" t="n">
        <f aca="false">COUNTIFS(Backlog!$B$2:$B$229,A23)</f>
        <v>8</v>
      </c>
      <c r="D23" s="9" t="n">
        <f aca="false">SUMIFS(Backlog!$J$2:$J$229,Backlog!$B$2:$B$229,A23)</f>
        <v>22</v>
      </c>
      <c r="E23" s="9" t="n">
        <f aca="false">SUMIFS(Backlog!$J$2:$J$229,Backlog!$B$2:$B$229,A23,Backlog!$N$2:$N$229,"Done")</f>
        <v>0</v>
      </c>
      <c r="F23" s="10" t="n">
        <f aca="false">IF(D23=0,0,E23/D23)</f>
        <v>0</v>
      </c>
      <c r="G23" s="9"/>
      <c r="H23" s="9"/>
      <c r="I23" s="9"/>
      <c r="J23" s="9"/>
    </row>
    <row r="24" customFormat="false" ht="15" hidden="false" customHeight="false" outlineLevel="0" collapsed="false">
      <c r="A24" s="9" t="s">
        <v>392</v>
      </c>
      <c r="B24" s="9" t="s">
        <v>393</v>
      </c>
      <c r="C24" s="9" t="n">
        <f aca="false">COUNTIFS(Backlog!$B$2:$B$229,A24)</f>
        <v>16</v>
      </c>
      <c r="D24" s="9" t="n">
        <f aca="false">SUMIFS(Backlog!$J$2:$J$229,Backlog!$B$2:$B$229,A24)</f>
        <v>44</v>
      </c>
      <c r="E24" s="9" t="n">
        <f aca="false">SUMIFS(Backlog!$J$2:$J$229,Backlog!$B$2:$B$229,A24,Backlog!$N$2:$N$229,"Done")</f>
        <v>0</v>
      </c>
      <c r="F24" s="10" t="n">
        <f aca="false">IF(D24=0,0,E24/D24)</f>
        <v>0</v>
      </c>
      <c r="G24" s="9"/>
      <c r="H24" s="9"/>
      <c r="I24" s="9"/>
      <c r="J24" s="9"/>
    </row>
    <row r="25" customFormat="false" ht="15" hidden="false" customHeight="false" outlineLevel="0" collapsed="false">
      <c r="A25" s="9" t="s">
        <v>787</v>
      </c>
      <c r="B25" s="9" t="s">
        <v>788</v>
      </c>
      <c r="C25" s="9" t="n">
        <f aca="false">COUNTIFS(Backlog!$B$2:$B$229,A25)</f>
        <v>5</v>
      </c>
      <c r="D25" s="9" t="n">
        <f aca="false">SUMIFS(Backlog!$J$2:$J$229,Backlog!$B$2:$B$229,A25)</f>
        <v>12</v>
      </c>
      <c r="E25" s="9" t="n">
        <f aca="false">SUMIFS(Backlog!$J$2:$J$229,Backlog!$B$2:$B$229,A25,Backlog!$N$2:$N$229,"Done")</f>
        <v>0</v>
      </c>
      <c r="F25" s="10" t="n">
        <f aca="false">IF(D25=0,0,E25/D25)</f>
        <v>0</v>
      </c>
      <c r="G25" s="9"/>
      <c r="H25" s="9"/>
      <c r="I25" s="9"/>
      <c r="J25" s="9"/>
    </row>
    <row r="26" customFormat="false" ht="15" hidden="false" customHeight="false" outlineLevel="0" collapsed="false">
      <c r="A26" s="9" t="s">
        <v>223</v>
      </c>
      <c r="B26" s="9" t="s">
        <v>224</v>
      </c>
      <c r="C26" s="9" t="n">
        <f aca="false">COUNTIFS(Backlog!$B$2:$B$229,A26)</f>
        <v>8</v>
      </c>
      <c r="D26" s="9" t="n">
        <f aca="false">SUMIFS(Backlog!$J$2:$J$229,Backlog!$B$2:$B$229,A26)</f>
        <v>19</v>
      </c>
      <c r="E26" s="9" t="n">
        <f aca="false">SUMIFS(Backlog!$J$2:$J$229,Backlog!$B$2:$B$229,A26,Backlog!$N$2:$N$229,"Done")</f>
        <v>0</v>
      </c>
      <c r="F26" s="10" t="n">
        <f aca="false">IF(D26=0,0,E26/D26)</f>
        <v>0</v>
      </c>
      <c r="G26" s="9"/>
      <c r="H26" s="9"/>
      <c r="I26" s="9"/>
      <c r="J26" s="9"/>
    </row>
    <row r="27" customFormat="false" ht="15" hidden="false" customHeight="false" outlineLevel="0" collapsed="false">
      <c r="A27" s="9" t="s">
        <v>646</v>
      </c>
      <c r="B27" s="9" t="s">
        <v>647</v>
      </c>
      <c r="C27" s="9" t="n">
        <f aca="false">COUNTIFS(Backlog!$B$2:$B$229,A27)</f>
        <v>8</v>
      </c>
      <c r="D27" s="9" t="n">
        <f aca="false">SUMIFS(Backlog!$J$2:$J$229,Backlog!$B$2:$B$229,A27)</f>
        <v>20</v>
      </c>
      <c r="E27" s="9" t="n">
        <f aca="false">SUMIFS(Backlog!$J$2:$J$229,Backlog!$B$2:$B$229,A27,Backlog!$N$2:$N$229,"Done")</f>
        <v>0</v>
      </c>
      <c r="F27" s="10" t="n">
        <f aca="false">IF(D27=0,0,E27/D27)</f>
        <v>0</v>
      </c>
      <c r="G27" s="9"/>
      <c r="H27" s="9"/>
      <c r="I27" s="9"/>
      <c r="J27" s="9"/>
    </row>
    <row r="28" customFormat="false" ht="15" hidden="false" customHeight="false" outlineLevel="0" collapsed="false">
      <c r="A28" s="9" t="s">
        <v>699</v>
      </c>
      <c r="B28" s="9" t="s">
        <v>700</v>
      </c>
      <c r="C28" s="9" t="n">
        <f aca="false">COUNTIFS(Backlog!$B$2:$B$229,A28)</f>
        <v>6</v>
      </c>
      <c r="D28" s="9" t="n">
        <f aca="false">SUMIFS(Backlog!$J$2:$J$229,Backlog!$B$2:$B$229,A28)</f>
        <v>15</v>
      </c>
      <c r="E28" s="9" t="n">
        <f aca="false">SUMIFS(Backlog!$J$2:$J$229,Backlog!$B$2:$B$229,A28,Backlog!$N$2:$N$229,"Done")</f>
        <v>0</v>
      </c>
      <c r="F28" s="10" t="n">
        <f aca="false">IF(D28=0,0,E28/D28)</f>
        <v>0</v>
      </c>
      <c r="G28" s="9"/>
      <c r="H28" s="9"/>
      <c r="I28" s="9"/>
      <c r="J28" s="9"/>
    </row>
    <row r="29" customFormat="false" ht="15" hidden="false" customHeight="false" outlineLevel="0" collapsed="false">
      <c r="A29" s="9" t="s">
        <v>719</v>
      </c>
      <c r="B29" s="9" t="s">
        <v>720</v>
      </c>
      <c r="C29" s="9" t="n">
        <f aca="false">COUNTIFS(Backlog!$B$2:$B$229,A29)</f>
        <v>5</v>
      </c>
      <c r="D29" s="9" t="n">
        <f aca="false">SUMIFS(Backlog!$J$2:$J$229,Backlog!$B$2:$B$229,A29)</f>
        <v>13</v>
      </c>
      <c r="E29" s="9" t="n">
        <f aca="false">SUMIFS(Backlog!$J$2:$J$229,Backlog!$B$2:$B$229,A29,Backlog!$N$2:$N$229,"Done")</f>
        <v>0</v>
      </c>
      <c r="F29" s="10" t="n">
        <f aca="false">IF(D29=0,0,E29/D29)</f>
        <v>0</v>
      </c>
      <c r="G29" s="9"/>
      <c r="H29" s="9"/>
      <c r="I29" s="9"/>
      <c r="J29" s="9"/>
    </row>
    <row r="30" customFormat="false" ht="15" hidden="false" customHeight="false" outlineLevel="0" collapsed="false">
      <c r="A30" s="9" t="s">
        <v>37</v>
      </c>
      <c r="B30" s="9" t="s">
        <v>38</v>
      </c>
      <c r="C30" s="9" t="n">
        <f aca="false">COUNTIFS(Backlog!$B$2:$B$229,A30)</f>
        <v>7</v>
      </c>
      <c r="D30" s="9" t="n">
        <f aca="false">SUMIFS(Backlog!$J$2:$J$229,Backlog!$B$2:$B$229,A30)</f>
        <v>19</v>
      </c>
      <c r="E30" s="9" t="n">
        <f aca="false">SUMIFS(Backlog!$J$2:$J$229,Backlog!$B$2:$B$229,A30,Backlog!$N$2:$N$229,"Done")</f>
        <v>0</v>
      </c>
      <c r="F30" s="10" t="n">
        <f aca="false">IF(D30=0,0,E30/D30)</f>
        <v>0</v>
      </c>
      <c r="G30" s="9"/>
      <c r="H30" s="9"/>
      <c r="I30" s="9"/>
      <c r="J30" s="9"/>
    </row>
    <row r="31" customFormat="false" ht="15" hidden="false" customHeight="false" outlineLevel="0" collapsed="false">
      <c r="A31" s="9" t="s">
        <v>51</v>
      </c>
      <c r="B31" s="9" t="s">
        <v>52</v>
      </c>
      <c r="C31" s="9" t="n">
        <f aca="false">COUNTIFS(Backlog!$B$2:$B$229,A31)</f>
        <v>9</v>
      </c>
      <c r="D31" s="9" t="n">
        <f aca="false">SUMIFS(Backlog!$J$2:$J$229,Backlog!$B$2:$B$229,A31)</f>
        <v>46</v>
      </c>
      <c r="E31" s="9" t="n">
        <f aca="false">SUMIFS(Backlog!$J$2:$J$229,Backlog!$B$2:$B$229,A31,Backlog!$N$2:$N$229,"Done")</f>
        <v>0</v>
      </c>
      <c r="F31" s="10" t="n">
        <f aca="false">IF(D31=0,0,E31/D31)</f>
        <v>0</v>
      </c>
      <c r="G31" s="9"/>
      <c r="H31" s="9"/>
      <c r="I31" s="9"/>
      <c r="J31" s="9"/>
    </row>
    <row r="32" customFormat="false" ht="15" hidden="false" customHeight="false" outlineLevel="0" collapsed="false">
      <c r="A32" s="9" t="s">
        <v>980</v>
      </c>
      <c r="B32" s="9" t="s">
        <v>981</v>
      </c>
      <c r="C32" s="9" t="n">
        <f aca="false">COUNTIFS(Backlog!$B$2:$B$229,A32)</f>
        <v>7</v>
      </c>
      <c r="D32" s="9" t="n">
        <f aca="false">SUMIFS(Backlog!$J$2:$J$229,Backlog!$B$2:$B$229,A32)</f>
        <v>18</v>
      </c>
      <c r="E32" s="9" t="n">
        <f aca="false">SUMIFS(Backlog!$J$2:$J$229,Backlog!$B$2:$B$229,A32,Backlog!$N$2:$N$229,"Done")</f>
        <v>0</v>
      </c>
      <c r="F32" s="10" t="n">
        <f aca="false">IF(D32=0,0,E32/D32)</f>
        <v>0</v>
      </c>
      <c r="G32" s="9"/>
      <c r="H32" s="9"/>
      <c r="I32" s="9"/>
      <c r="J32" s="9"/>
    </row>
    <row r="33" customFormat="false" ht="15" hidden="false" customHeight="false" outlineLevel="0" collapsed="false">
      <c r="A33" s="9" t="s">
        <v>59</v>
      </c>
      <c r="B33" s="9" t="s">
        <v>60</v>
      </c>
      <c r="C33" s="9" t="n">
        <f aca="false">COUNTIFS(Backlog!$B$2:$B$229,A33)</f>
        <v>10</v>
      </c>
      <c r="D33" s="9" t="n">
        <f aca="false">SUMIFS(Backlog!$J$2:$J$229,Backlog!$B$2:$B$229,A33)</f>
        <v>24</v>
      </c>
      <c r="E33" s="9" t="n">
        <f aca="false">SUMIFS(Backlog!$J$2:$J$229,Backlog!$B$2:$B$229,A33,Backlog!$N$2:$N$229,"Done")</f>
        <v>0</v>
      </c>
      <c r="F33" s="10" t="n">
        <f aca="false">IF(D33=0,0,E33/D33)</f>
        <v>0</v>
      </c>
      <c r="G33" s="9"/>
      <c r="H33" s="9"/>
      <c r="I33" s="9"/>
      <c r="J33" s="9"/>
    </row>
    <row r="34" customFormat="false" ht="15" hidden="false" customHeight="false" outlineLevel="0" collapsed="false">
      <c r="A34" s="9" t="s">
        <v>512</v>
      </c>
      <c r="B34" s="9" t="s">
        <v>513</v>
      </c>
      <c r="C34" s="9" t="n">
        <f aca="false">COUNTIFS(Backlog!$B$2:$B$229,A34)</f>
        <v>7</v>
      </c>
      <c r="D34" s="9" t="n">
        <f aca="false">SUMIFS(Backlog!$J$2:$J$229,Backlog!$B$2:$B$229,A34)</f>
        <v>15</v>
      </c>
      <c r="E34" s="9" t="n">
        <f aca="false">SUMIFS(Backlog!$J$2:$J$229,Backlog!$B$2:$B$229,A34,Backlog!$N$2:$N$229,"Done")</f>
        <v>0</v>
      </c>
      <c r="F34" s="10" t="n">
        <f aca="false">IF(D34=0,0,E34/D34)</f>
        <v>0</v>
      </c>
      <c r="G34" s="9"/>
      <c r="H34" s="9"/>
      <c r="I34" s="9"/>
      <c r="J34" s="9"/>
    </row>
    <row r="35" customFormat="false" ht="15" hidden="false" customHeight="false" outlineLevel="0" collapsed="false">
      <c r="A35" s="9" t="s">
        <v>1069</v>
      </c>
      <c r="B35" s="9" t="s">
        <v>1070</v>
      </c>
      <c r="C35" s="9" t="n">
        <f aca="false">COUNTIFS(Backlog!$B$2:$B$229,A35)</f>
        <v>5</v>
      </c>
      <c r="D35" s="9" t="n">
        <f aca="false">SUMIFS(Backlog!$J$2:$J$229,Backlog!$B$2:$B$229,A35)</f>
        <v>18</v>
      </c>
      <c r="E35" s="9" t="n">
        <f aca="false">SUMIFS(Backlog!$J$2:$J$229,Backlog!$B$2:$B$229,A35,Backlog!$N$2:$N$229,"Done")</f>
        <v>0</v>
      </c>
      <c r="F35" s="10" t="n">
        <f aca="false">IF(D35=0,0,E35/D35)</f>
        <v>0</v>
      </c>
      <c r="G35" s="9"/>
      <c r="H35" s="9"/>
      <c r="I35" s="9"/>
      <c r="J35" s="9"/>
    </row>
    <row r="36" customFormat="false" ht="15" hidden="false" customHeight="false" outlineLevel="0" collapsed="false">
      <c r="A36" s="9" t="s">
        <v>836</v>
      </c>
      <c r="B36" s="9" t="s">
        <v>837</v>
      </c>
      <c r="C36" s="9" t="n">
        <f aca="false">COUNTIFS(Backlog!$B$2:$B$229,A36)</f>
        <v>7</v>
      </c>
      <c r="D36" s="9" t="n">
        <f aca="false">SUMIFS(Backlog!$J$2:$J$229,Backlog!$B$2:$B$229,A36)</f>
        <v>33</v>
      </c>
      <c r="E36" s="9" t="n">
        <f aca="false">SUMIFS(Backlog!$J$2:$J$229,Backlog!$B$2:$B$229,A36,Backlog!$N$2:$N$229,"Done")</f>
        <v>0</v>
      </c>
      <c r="F36" s="10" t="n">
        <f aca="false">IF(D36=0,0,E36/D36)</f>
        <v>0</v>
      </c>
      <c r="G36" s="9"/>
      <c r="H36" s="9"/>
      <c r="I36" s="9"/>
      <c r="J36" s="9"/>
    </row>
    <row r="37" customFormat="false" ht="15" hidden="false" customHeight="false" outlineLevel="0" collapsed="false">
      <c r="A37" s="9" t="s">
        <v>70</v>
      </c>
      <c r="B37" s="9" t="s">
        <v>71</v>
      </c>
      <c r="C37" s="9" t="n">
        <f aca="false">COUNTIFS(Backlog!$B$2:$B$229,A37)</f>
        <v>8</v>
      </c>
      <c r="D37" s="9" t="n">
        <f aca="false">SUMIFS(Backlog!$J$2:$J$229,Backlog!$B$2:$B$229,A37)</f>
        <v>20</v>
      </c>
      <c r="E37" s="9" t="n">
        <f aca="false">SUMIFS(Backlog!$J$2:$J$229,Backlog!$B$2:$B$229,A37,Backlog!$N$2:$N$229,"Done")</f>
        <v>0</v>
      </c>
      <c r="F37" s="10" t="n">
        <f aca="false">IF(D37=0,0,E37/D37)</f>
        <v>0</v>
      </c>
      <c r="G37" s="9"/>
      <c r="H37" s="9"/>
      <c r="I37" s="9"/>
      <c r="J37" s="9"/>
    </row>
    <row r="38" customFormat="false" ht="15" hidden="false" customHeight="false" outlineLevel="0" collapsed="false">
      <c r="A38" s="9" t="s">
        <v>1097</v>
      </c>
      <c r="B38" s="9" t="s">
        <v>1098</v>
      </c>
      <c r="C38" s="9" t="n">
        <f aca="false">COUNTIFS(Backlog!$B$2:$B$229,A38)</f>
        <v>4</v>
      </c>
      <c r="D38" s="9" t="n">
        <f aca="false">SUMIFS(Backlog!$J$2:$J$229,Backlog!$B$2:$B$229,A38)</f>
        <v>13</v>
      </c>
      <c r="E38" s="9" t="n">
        <f aca="false">SUMIFS(Backlog!$J$2:$J$229,Backlog!$B$2:$B$229,A38,Backlog!$N$2:$N$229,"Done")</f>
        <v>0</v>
      </c>
      <c r="F38" s="10" t="n">
        <f aca="false">IF(D38=0,0,E38/D38)</f>
        <v>0</v>
      </c>
      <c r="G38" s="9"/>
      <c r="H38" s="9"/>
      <c r="I38" s="9"/>
      <c r="J38" s="9"/>
    </row>
    <row r="39" customFormat="false" ht="15" hidden="false" customHeight="false" outlineLevel="0" collapsed="false">
      <c r="A39" s="9" t="s">
        <v>1118</v>
      </c>
      <c r="B39" s="9" t="s">
        <v>1119</v>
      </c>
      <c r="C39" s="9" t="n">
        <f aca="false">COUNTIFS(Backlog!$B$2:$B$229,A39)</f>
        <v>4</v>
      </c>
      <c r="D39" s="9" t="n">
        <f aca="false">SUMIFS(Backlog!$J$2:$J$229,Backlog!$B$2:$B$229,A39)</f>
        <v>24</v>
      </c>
      <c r="E39" s="9" t="n">
        <f aca="false">SUMIFS(Backlog!$J$2:$J$229,Backlog!$B$2:$B$229,A39,Backlog!$N$2:$N$229,"Done")</f>
        <v>0</v>
      </c>
      <c r="F39" s="10" t="n">
        <f aca="false">IF(D39=0,0,E39/D39)</f>
        <v>0</v>
      </c>
      <c r="G39" s="9"/>
      <c r="H39" s="9"/>
      <c r="I39" s="9"/>
      <c r="J39" s="9"/>
    </row>
    <row r="40" customFormat="false" ht="15" hidden="false" customHeight="false" outlineLevel="0" collapsed="false">
      <c r="A40" s="9" t="s">
        <v>88</v>
      </c>
      <c r="B40" s="9" t="s">
        <v>89</v>
      </c>
      <c r="C40" s="9" t="n">
        <f aca="false">COUNTIFS(Backlog!$B$2:$B$229,A40)</f>
        <v>4</v>
      </c>
      <c r="D40" s="9" t="n">
        <f aca="false">SUMIFS(Backlog!$J$2:$J$229,Backlog!$B$2:$B$229,A40)</f>
        <v>14</v>
      </c>
      <c r="E40" s="9" t="n">
        <f aca="false">SUMIFS(Backlog!$J$2:$J$229,Backlog!$B$2:$B$229,A40,Backlog!$N$2:$N$229,"Done")</f>
        <v>0</v>
      </c>
      <c r="F40" s="10" t="n">
        <f aca="false">IF(D40=0,0,E40/D40)</f>
        <v>0</v>
      </c>
      <c r="G40" s="9"/>
      <c r="H40" s="9"/>
      <c r="I40" s="9"/>
      <c r="J40" s="9"/>
    </row>
    <row r="41" customFormat="false" ht="15" hidden="false" customHeight="false" outlineLevel="0" collapsed="false">
      <c r="A41" s="9" t="s">
        <v>822</v>
      </c>
      <c r="B41" s="9" t="s">
        <v>823</v>
      </c>
      <c r="C41" s="9" t="n">
        <f aca="false">COUNTIFS(Backlog!$B$2:$B$229,A41)</f>
        <v>3</v>
      </c>
      <c r="D41" s="9" t="n">
        <f aca="false">SUMIFS(Backlog!$J$2:$J$229,Backlog!$B$2:$B$229,A41)</f>
        <v>8</v>
      </c>
      <c r="E41" s="9" t="n">
        <f aca="false">SUMIFS(Backlog!$J$2:$J$229,Backlog!$B$2:$B$229,A41,Backlog!$N$2:$N$229,"Done")</f>
        <v>0</v>
      </c>
      <c r="F41" s="10" t="n">
        <f aca="false">IF(D41=0,0,E41/D41)</f>
        <v>0</v>
      </c>
      <c r="G41" s="9"/>
      <c r="H41" s="9"/>
      <c r="I41" s="9"/>
      <c r="J41" s="9"/>
    </row>
    <row r="42" customFormat="false" ht="15" hidden="false" customHeight="false" outlineLevel="0" collapsed="false">
      <c r="A42" s="9" t="s">
        <v>624</v>
      </c>
      <c r="B42" s="9" t="s">
        <v>625</v>
      </c>
      <c r="C42" s="9" t="n">
        <f aca="false">COUNTIFS(Backlog!$B$2:$B$229,A42)</f>
        <v>3</v>
      </c>
      <c r="D42" s="9" t="n">
        <f aca="false">SUMIFS(Backlog!$J$2:$J$229,Backlog!$B$2:$B$229,A42)</f>
        <v>7</v>
      </c>
      <c r="E42" s="9" t="n">
        <f aca="false">SUMIFS(Backlog!$J$2:$J$229,Backlog!$B$2:$B$229,A42,Backlog!$N$2:$N$229,"Done")</f>
        <v>0</v>
      </c>
      <c r="F42" s="10" t="n">
        <f aca="false">IF(D42=0,0,E42/D42)</f>
        <v>0</v>
      </c>
      <c r="G42" s="9"/>
      <c r="H42" s="9"/>
      <c r="I42" s="9"/>
      <c r="J42" s="9"/>
    </row>
    <row r="43" customFormat="false" ht="15" hidden="false" customHeight="false" outlineLevel="0" collapsed="false">
      <c r="A43" s="9"/>
      <c r="B43" s="9"/>
      <c r="C43" s="9"/>
      <c r="D43" s="9"/>
      <c r="E43" s="9"/>
      <c r="F43" s="9"/>
      <c r="G43" s="9"/>
      <c r="H43" s="9"/>
      <c r="I43" s="9"/>
      <c r="J43" s="9"/>
    </row>
    <row r="44" customFormat="false" ht="15" hidden="false" customHeight="false" outlineLevel="0" collapsed="false">
      <c r="A44" s="8" t="s">
        <v>31</v>
      </c>
      <c r="B44" s="8"/>
      <c r="C44" s="8" t="s">
        <v>1149</v>
      </c>
      <c r="D44" s="8" t="s">
        <v>29</v>
      </c>
      <c r="E44" s="8" t="s">
        <v>1151</v>
      </c>
      <c r="F44" s="9"/>
      <c r="G44" s="9"/>
      <c r="H44" s="9"/>
      <c r="I44" s="9"/>
      <c r="J44" s="9"/>
    </row>
    <row r="45" customFormat="false" ht="15" hidden="false" customHeight="false" outlineLevel="0" collapsed="false">
      <c r="A45" s="9" t="s">
        <v>46</v>
      </c>
      <c r="B45" s="9"/>
      <c r="C45" s="9" t="n">
        <f aca="false">COUNTIFS(Backlog!$L$2:$L$229,A45)</f>
        <v>9</v>
      </c>
      <c r="D45" s="9" t="n">
        <f aca="false">SUMIFS(Backlog!$J$2:$J$229,Backlog!$L$2:$L$229,A45)</f>
        <v>22</v>
      </c>
      <c r="E45" s="9" t="n">
        <f aca="false">SUMIFS(Backlog!$J$2:$J$229,Backlog!$L$2:$L$229,A45,Backlog!$N$2:$N$229,"Done")</f>
        <v>0</v>
      </c>
      <c r="F45" s="9"/>
      <c r="G45" s="9"/>
      <c r="H45" s="9"/>
      <c r="I45" s="9"/>
      <c r="J45" s="9"/>
    </row>
    <row r="46" customFormat="false" ht="15" hidden="false" customHeight="false" outlineLevel="0" collapsed="false">
      <c r="A46" s="9" t="s">
        <v>100</v>
      </c>
      <c r="B46" s="9"/>
      <c r="C46" s="9" t="n">
        <f aca="false">COUNTIFS(Backlog!$L$2:$L$229,A46)</f>
        <v>13</v>
      </c>
      <c r="D46" s="9" t="n">
        <f aca="false">SUMIFS(Backlog!$J$2:$J$229,Backlog!$L$2:$L$229,A46)</f>
        <v>31</v>
      </c>
      <c r="E46" s="9" t="n">
        <f aca="false">SUMIFS(Backlog!$J$2:$J$229,Backlog!$L$2:$L$229,A46,Backlog!$N$2:$N$229,"Done")</f>
        <v>0</v>
      </c>
      <c r="F46" s="9"/>
      <c r="G46" s="9"/>
      <c r="H46" s="9"/>
      <c r="I46" s="9"/>
      <c r="J46" s="9"/>
    </row>
    <row r="47" customFormat="false" ht="15" hidden="false" customHeight="false" outlineLevel="0" collapsed="false">
      <c r="A47" s="9" t="s">
        <v>165</v>
      </c>
      <c r="B47" s="9"/>
      <c r="C47" s="9" t="n">
        <f aca="false">COUNTIFS(Backlog!$L$2:$L$229,A47)</f>
        <v>15</v>
      </c>
      <c r="D47" s="9" t="n">
        <f aca="false">SUMIFS(Backlog!$J$2:$J$229,Backlog!$L$2:$L$229,A47)</f>
        <v>39</v>
      </c>
      <c r="E47" s="9" t="n">
        <f aca="false">SUMIFS(Backlog!$J$2:$J$229,Backlog!$L$2:$L$229,A47,Backlog!$N$2:$N$229,"Done")</f>
        <v>0</v>
      </c>
      <c r="F47" s="9"/>
      <c r="G47" s="9"/>
      <c r="H47" s="9"/>
      <c r="I47" s="9"/>
      <c r="J47" s="9"/>
    </row>
    <row r="48" customFormat="false" ht="15" hidden="false" customHeight="false" outlineLevel="0" collapsed="false">
      <c r="A48" s="9" t="s">
        <v>248</v>
      </c>
      <c r="B48" s="9"/>
      <c r="C48" s="9" t="n">
        <f aca="false">COUNTIFS(Backlog!$L$2:$L$229,A48)</f>
        <v>13</v>
      </c>
      <c r="D48" s="9" t="n">
        <f aca="false">SUMIFS(Backlog!$J$2:$J$229,Backlog!$L$2:$L$229,A48)</f>
        <v>29</v>
      </c>
      <c r="E48" s="9" t="n">
        <f aca="false">SUMIFS(Backlog!$J$2:$J$229,Backlog!$L$2:$L$229,A48,Backlog!$N$2:$N$229,"Done")</f>
        <v>0</v>
      </c>
      <c r="F48" s="9"/>
      <c r="G48" s="9"/>
      <c r="H48" s="9"/>
      <c r="I48" s="9"/>
      <c r="J48" s="9"/>
    </row>
    <row r="49" customFormat="false" ht="15" hidden="false" customHeight="false" outlineLevel="0" collapsed="false">
      <c r="A49" s="9" t="s">
        <v>307</v>
      </c>
      <c r="B49" s="9"/>
      <c r="C49" s="9" t="n">
        <f aca="false">COUNTIFS(Backlog!$L$2:$L$229,A49)</f>
        <v>16</v>
      </c>
      <c r="D49" s="9" t="n">
        <f aca="false">SUMIFS(Backlog!$J$2:$J$229,Backlog!$L$2:$L$229,A49)</f>
        <v>37</v>
      </c>
      <c r="E49" s="9" t="n">
        <f aca="false">SUMIFS(Backlog!$J$2:$J$229,Backlog!$L$2:$L$229,A49,Backlog!$N$2:$N$229,"Done")</f>
        <v>0</v>
      </c>
      <c r="F49" s="9"/>
      <c r="G49" s="9"/>
      <c r="H49" s="9"/>
      <c r="I49" s="9"/>
      <c r="J49" s="9"/>
    </row>
    <row r="50" customFormat="false" ht="15" hidden="false" customHeight="false" outlineLevel="0" collapsed="false">
      <c r="A50" s="9" t="s">
        <v>384</v>
      </c>
      <c r="B50" s="9"/>
      <c r="C50" s="9" t="n">
        <f aca="false">COUNTIFS(Backlog!$L$2:$L$229,A50)</f>
        <v>15</v>
      </c>
      <c r="D50" s="9" t="n">
        <f aca="false">SUMIFS(Backlog!$J$2:$J$229,Backlog!$L$2:$L$229,A50)</f>
        <v>37</v>
      </c>
      <c r="E50" s="9" t="n">
        <f aca="false">SUMIFS(Backlog!$J$2:$J$229,Backlog!$L$2:$L$229,A50,Backlog!$N$2:$N$229,"Done")</f>
        <v>0</v>
      </c>
      <c r="F50" s="9"/>
      <c r="G50" s="9"/>
      <c r="H50" s="9"/>
      <c r="I50" s="9"/>
      <c r="J50" s="9"/>
    </row>
    <row r="51" customFormat="false" ht="15" hidden="false" customHeight="false" outlineLevel="0" collapsed="false">
      <c r="A51" s="9" t="s">
        <v>458</v>
      </c>
      <c r="B51" s="9"/>
      <c r="C51" s="9" t="n">
        <f aca="false">COUNTIFS(Backlog!$L$2:$L$229,A51)</f>
        <v>14</v>
      </c>
      <c r="D51" s="9" t="n">
        <f aca="false">SUMIFS(Backlog!$J$2:$J$229,Backlog!$L$2:$L$229,A51)</f>
        <v>36</v>
      </c>
      <c r="E51" s="9" t="n">
        <f aca="false">SUMIFS(Backlog!$J$2:$J$229,Backlog!$L$2:$L$229,A51,Backlog!$N$2:$N$229,"Done")</f>
        <v>0</v>
      </c>
      <c r="F51" s="9"/>
      <c r="G51" s="9"/>
      <c r="H51" s="9"/>
      <c r="I51" s="9"/>
      <c r="J51" s="9"/>
    </row>
    <row r="52" customFormat="false" ht="15" hidden="false" customHeight="false" outlineLevel="0" collapsed="false">
      <c r="A52" s="9" t="s">
        <v>525</v>
      </c>
      <c r="B52" s="9"/>
      <c r="C52" s="9" t="n">
        <f aca="false">COUNTIFS(Backlog!$L$2:$L$229,A52)</f>
        <v>15</v>
      </c>
      <c r="D52" s="9" t="n">
        <f aca="false">SUMIFS(Backlog!$J$2:$J$229,Backlog!$L$2:$L$229,A52)</f>
        <v>33</v>
      </c>
      <c r="E52" s="9" t="n">
        <f aca="false">SUMIFS(Backlog!$J$2:$J$229,Backlog!$L$2:$L$229,A52,Backlog!$N$2:$N$229,"Done")</f>
        <v>0</v>
      </c>
      <c r="F52" s="9"/>
      <c r="G52" s="9"/>
      <c r="H52" s="9"/>
      <c r="I52" s="9"/>
      <c r="J52" s="9"/>
    </row>
    <row r="53" customFormat="false" ht="15" hidden="false" customHeight="false" outlineLevel="0" collapsed="false">
      <c r="A53" s="9" t="s">
        <v>589</v>
      </c>
      <c r="B53" s="9"/>
      <c r="C53" s="9" t="n">
        <f aca="false">COUNTIFS(Backlog!$L$2:$L$229,A53)</f>
        <v>10</v>
      </c>
      <c r="D53" s="9" t="n">
        <f aca="false">SUMIFS(Backlog!$J$2:$J$229,Backlog!$L$2:$L$229,A53)</f>
        <v>24</v>
      </c>
      <c r="E53" s="9" t="n">
        <f aca="false">SUMIFS(Backlog!$J$2:$J$229,Backlog!$L$2:$L$229,A53,Backlog!$N$2:$N$229,"Done")</f>
        <v>0</v>
      </c>
      <c r="F53" s="9"/>
      <c r="G53" s="9"/>
      <c r="H53" s="9"/>
      <c r="I53" s="9"/>
      <c r="J53" s="9"/>
    </row>
    <row r="54" customFormat="false" ht="15" hidden="false" customHeight="false" outlineLevel="0" collapsed="false">
      <c r="A54" s="9" t="s">
        <v>638</v>
      </c>
      <c r="B54" s="9"/>
      <c r="C54" s="9" t="n">
        <f aca="false">COUNTIFS(Backlog!$L$2:$L$229,A54)</f>
        <v>9</v>
      </c>
      <c r="D54" s="9" t="n">
        <f aca="false">SUMIFS(Backlog!$J$2:$J$229,Backlog!$L$2:$L$229,A54)</f>
        <v>23</v>
      </c>
      <c r="E54" s="9" t="n">
        <f aca="false">SUMIFS(Backlog!$J$2:$J$229,Backlog!$L$2:$L$229,A54,Backlog!$N$2:$N$229,"Done")</f>
        <v>0</v>
      </c>
      <c r="F54" s="9"/>
      <c r="G54" s="9"/>
      <c r="H54" s="9"/>
      <c r="I54" s="9"/>
      <c r="J54" s="9"/>
    </row>
    <row r="55" customFormat="false" ht="15" hidden="false" customHeight="false" outlineLevel="0" collapsed="false">
      <c r="A55" s="9" t="s">
        <v>684</v>
      </c>
      <c r="B55" s="9"/>
      <c r="C55" s="9" t="n">
        <f aca="false">COUNTIFS(Backlog!$L$2:$L$229,A55)</f>
        <v>12</v>
      </c>
      <c r="D55" s="9" t="n">
        <f aca="false">SUMIFS(Backlog!$J$2:$J$229,Backlog!$L$2:$L$229,A55)</f>
        <v>33</v>
      </c>
      <c r="E55" s="9" t="n">
        <f aca="false">SUMIFS(Backlog!$J$2:$J$229,Backlog!$L$2:$L$229,A55,Backlog!$N$2:$N$229,"Done")</f>
        <v>0</v>
      </c>
      <c r="F55" s="9"/>
      <c r="G55" s="9"/>
      <c r="H55" s="9"/>
      <c r="I55" s="9"/>
      <c r="J55" s="9"/>
    </row>
    <row r="56" customFormat="false" ht="15" hidden="false" customHeight="false" outlineLevel="0" collapsed="false">
      <c r="A56" s="9" t="s">
        <v>741</v>
      </c>
      <c r="B56" s="9"/>
      <c r="C56" s="9" t="n">
        <f aca="false">COUNTIFS(Backlog!$L$2:$L$229,A56)</f>
        <v>20</v>
      </c>
      <c r="D56" s="9" t="n">
        <f aca="false">SUMIFS(Backlog!$J$2:$J$229,Backlog!$L$2:$L$229,A56)</f>
        <v>50</v>
      </c>
      <c r="E56" s="9" t="n">
        <f aca="false">SUMIFS(Backlog!$J$2:$J$229,Backlog!$L$2:$L$229,A56,Backlog!$N$2:$N$229,"Done")</f>
        <v>0</v>
      </c>
      <c r="F56" s="9"/>
      <c r="G56" s="9"/>
      <c r="H56" s="9"/>
      <c r="I56" s="9"/>
      <c r="J56" s="9"/>
    </row>
    <row r="57" customFormat="false" ht="15" hidden="false" customHeight="false" outlineLevel="0" collapsed="false">
      <c r="A57" s="9" t="s">
        <v>842</v>
      </c>
      <c r="B57" s="9"/>
      <c r="C57" s="9" t="n">
        <f aca="false">COUNTIFS(Backlog!$L$2:$L$229,A57)</f>
        <v>2</v>
      </c>
      <c r="D57" s="9" t="n">
        <f aca="false">SUMIFS(Backlog!$J$2:$J$229,Backlog!$L$2:$L$229,A57)</f>
        <v>8</v>
      </c>
      <c r="E57" s="9" t="n">
        <f aca="false">SUMIFS(Backlog!$J$2:$J$229,Backlog!$L$2:$L$229,A57,Backlog!$N$2:$N$229,"Done")</f>
        <v>0</v>
      </c>
      <c r="F57" s="9"/>
      <c r="G57" s="9"/>
      <c r="H57" s="9"/>
      <c r="I57" s="9"/>
      <c r="J57" s="9"/>
    </row>
    <row r="58" customFormat="false" ht="15" hidden="false" customHeight="false" outlineLevel="0" collapsed="false">
      <c r="A58" s="9" t="s">
        <v>1162</v>
      </c>
      <c r="B58" s="9"/>
      <c r="C58" s="9" t="n">
        <f aca="false">COUNTIFS(Backlog!$L$2:$L$229,A58)</f>
        <v>0</v>
      </c>
      <c r="D58" s="9" t="n">
        <f aca="false">SUMIFS(Backlog!$J$2:$J$229,Backlog!$L$2:$L$229,A58)</f>
        <v>0</v>
      </c>
      <c r="E58" s="9" t="n">
        <f aca="false">SUMIFS(Backlog!$J$2:$J$229,Backlog!$L$2:$L$229,A58,Backlog!$N$2:$N$229,"Done")</f>
        <v>0</v>
      </c>
      <c r="F58" s="9"/>
      <c r="G58" s="9"/>
      <c r="H58" s="9"/>
      <c r="I58" s="9"/>
      <c r="J58" s="9"/>
    </row>
    <row r="59" customFormat="false" ht="15" hidden="false" customHeight="false" outlineLevel="0" collapsed="false">
      <c r="A59" s="9" t="s">
        <v>851</v>
      </c>
      <c r="B59" s="9"/>
      <c r="C59" s="9" t="n">
        <f aca="false">COUNTIFS(Backlog!$L$2:$L$229,A59)</f>
        <v>1</v>
      </c>
      <c r="D59" s="9" t="n">
        <f aca="false">SUMIFS(Backlog!$J$2:$J$229,Backlog!$L$2:$L$229,A59)</f>
        <v>8</v>
      </c>
      <c r="E59" s="9" t="n">
        <f aca="false">SUMIFS(Backlog!$J$2:$J$229,Backlog!$L$2:$L$229,A59,Backlog!$N$2:$N$229,"Done")</f>
        <v>0</v>
      </c>
      <c r="F59" s="9"/>
      <c r="G59" s="9"/>
      <c r="H59" s="9"/>
      <c r="I59" s="9"/>
      <c r="J59" s="9"/>
    </row>
    <row r="60" customFormat="false" ht="15" hidden="false" customHeight="false" outlineLevel="0" collapsed="false">
      <c r="A60" s="9" t="s">
        <v>1163</v>
      </c>
      <c r="B60" s="9"/>
      <c r="C60" s="9" t="n">
        <f aca="false">COUNTIFS(Backlog!$L$2:$L$229,A60)</f>
        <v>0</v>
      </c>
      <c r="D60" s="9" t="n">
        <f aca="false">SUMIFS(Backlog!$J$2:$J$229,Backlog!$L$2:$L$229,A60)</f>
        <v>0</v>
      </c>
      <c r="E60" s="9" t="n">
        <f aca="false">SUMIFS(Backlog!$J$2:$J$229,Backlog!$L$2:$L$229,A60,Backlog!$N$2:$N$229,"Done")</f>
        <v>0</v>
      </c>
      <c r="F60" s="9"/>
      <c r="G60" s="9"/>
      <c r="H60" s="9"/>
      <c r="I60" s="9"/>
      <c r="J60" s="9"/>
    </row>
    <row r="61" customFormat="false" ht="15" hidden="false" customHeight="false" outlineLevel="0" collapsed="false">
      <c r="A61" s="9" t="s">
        <v>857</v>
      </c>
      <c r="B61" s="9"/>
      <c r="C61" s="9" t="n">
        <f aca="false">COUNTIFS(Backlog!$L$2:$L$229,A61)</f>
        <v>1</v>
      </c>
      <c r="D61" s="9" t="n">
        <f aca="false">SUMIFS(Backlog!$J$2:$J$229,Backlog!$L$2:$L$229,A61)</f>
        <v>3</v>
      </c>
      <c r="E61" s="9" t="n">
        <f aca="false">SUMIFS(Backlog!$J$2:$J$229,Backlog!$L$2:$L$229,A61,Backlog!$N$2:$N$229,"Done")</f>
        <v>0</v>
      </c>
      <c r="F61" s="9"/>
      <c r="G61" s="9"/>
      <c r="H61" s="9"/>
      <c r="I61" s="9"/>
      <c r="J61" s="9"/>
    </row>
    <row r="62" customFormat="false" ht="15" hidden="false" customHeight="false" outlineLevel="0" collapsed="false">
      <c r="A62" s="9" t="s">
        <v>862</v>
      </c>
      <c r="B62" s="9"/>
      <c r="C62" s="9" t="n">
        <f aca="false">COUNTIFS(Backlog!$L$2:$L$229,A62)</f>
        <v>2</v>
      </c>
      <c r="D62" s="9" t="n">
        <f aca="false">SUMIFS(Backlog!$J$2:$J$229,Backlog!$L$2:$L$229,A62)</f>
        <v>6</v>
      </c>
      <c r="E62" s="9" t="n">
        <f aca="false">SUMIFS(Backlog!$J$2:$J$229,Backlog!$L$2:$L$229,A62,Backlog!$N$2:$N$229,"Done")</f>
        <v>0</v>
      </c>
      <c r="F62" s="9"/>
      <c r="G62" s="9"/>
      <c r="H62" s="9"/>
      <c r="I62" s="9"/>
      <c r="J62" s="9"/>
    </row>
    <row r="63" customFormat="false" ht="15" hidden="false" customHeight="false" outlineLevel="0" collapsed="false">
      <c r="A63" s="9" t="s">
        <v>872</v>
      </c>
      <c r="B63" s="9"/>
      <c r="C63" s="9" t="n">
        <f aca="false">COUNTIFS(Backlog!$L$2:$L$229,A63)</f>
        <v>4</v>
      </c>
      <c r="D63" s="9" t="n">
        <f aca="false">SUMIFS(Backlog!$J$2:$J$229,Backlog!$L$2:$L$229,A63)</f>
        <v>12</v>
      </c>
      <c r="E63" s="9" t="n">
        <f aca="false">SUMIFS(Backlog!$J$2:$J$229,Backlog!$L$2:$L$229,A63,Backlog!$N$2:$N$229,"Done")</f>
        <v>0</v>
      </c>
      <c r="F63" s="9"/>
      <c r="G63" s="9"/>
      <c r="H63" s="9"/>
      <c r="I63" s="9"/>
      <c r="J63" s="9"/>
    </row>
    <row r="64" customFormat="false" ht="15" hidden="false" customHeight="false" outlineLevel="0" collapsed="false">
      <c r="A64" s="9" t="s">
        <v>892</v>
      </c>
      <c r="B64" s="9"/>
      <c r="C64" s="9" t="n">
        <f aca="false">COUNTIFS(Backlog!$L$2:$L$229,A64)</f>
        <v>4</v>
      </c>
      <c r="D64" s="9" t="n">
        <f aca="false">SUMIFS(Backlog!$J$2:$J$229,Backlog!$L$2:$L$229,A64)</f>
        <v>17</v>
      </c>
      <c r="E64" s="9" t="n">
        <f aca="false">SUMIFS(Backlog!$J$2:$J$229,Backlog!$L$2:$L$229,A64,Backlog!$N$2:$N$229,"Done")</f>
        <v>0</v>
      </c>
      <c r="F64" s="9"/>
      <c r="G64" s="9"/>
      <c r="H64" s="9"/>
      <c r="I64" s="9"/>
      <c r="J64" s="9"/>
    </row>
    <row r="65" customFormat="false" ht="15" hidden="false" customHeight="false" outlineLevel="0" collapsed="false">
      <c r="A65" s="9" t="s">
        <v>909</v>
      </c>
      <c r="B65" s="9"/>
      <c r="C65" s="9" t="n">
        <f aca="false">COUNTIFS(Backlog!$L$2:$L$229,A65)</f>
        <v>4</v>
      </c>
      <c r="D65" s="9" t="n">
        <f aca="false">SUMIFS(Backlog!$J$2:$J$229,Backlog!$L$2:$L$229,A65)</f>
        <v>15</v>
      </c>
      <c r="E65" s="9" t="n">
        <f aca="false">SUMIFS(Backlog!$J$2:$J$229,Backlog!$L$2:$L$229,A65,Backlog!$N$2:$N$229,"Done")</f>
        <v>0</v>
      </c>
      <c r="F65" s="9"/>
      <c r="G65" s="9"/>
      <c r="H65" s="9"/>
      <c r="I65" s="9"/>
      <c r="J65" s="9"/>
    </row>
    <row r="66" customFormat="false" ht="15" hidden="false" customHeight="false" outlineLevel="0" collapsed="false">
      <c r="A66" s="9" t="s">
        <v>927</v>
      </c>
      <c r="B66" s="9"/>
      <c r="C66" s="9" t="n">
        <f aca="false">COUNTIFS(Backlog!$L$2:$L$229,A66)</f>
        <v>11</v>
      </c>
      <c r="D66" s="9" t="n">
        <f aca="false">SUMIFS(Backlog!$J$2:$J$229,Backlog!$L$2:$L$229,A66)</f>
        <v>35</v>
      </c>
      <c r="E66" s="9" t="n">
        <f aca="false">SUMIFS(Backlog!$J$2:$J$229,Backlog!$L$2:$L$229,A66,Backlog!$N$2:$N$229,"Done")</f>
        <v>0</v>
      </c>
      <c r="F66" s="9"/>
      <c r="G66" s="9"/>
      <c r="H66" s="9"/>
      <c r="I66" s="9"/>
      <c r="J66" s="9"/>
    </row>
    <row r="67" customFormat="false" ht="15" hidden="false" customHeight="false" outlineLevel="0" collapsed="false">
      <c r="A67" s="9" t="s">
        <v>978</v>
      </c>
      <c r="B67" s="9"/>
      <c r="C67" s="9" t="n">
        <f aca="false">COUNTIFS(Backlog!$L$2:$L$229,A67)</f>
        <v>8</v>
      </c>
      <c r="D67" s="9" t="n">
        <f aca="false">SUMIFS(Backlog!$J$2:$J$229,Backlog!$L$2:$L$229,A67)</f>
        <v>20</v>
      </c>
      <c r="E67" s="9" t="n">
        <f aca="false">SUMIFS(Backlog!$J$2:$J$229,Backlog!$L$2:$L$229,A67,Backlog!$N$2:$N$229,"Done")</f>
        <v>0</v>
      </c>
      <c r="F67" s="9"/>
      <c r="G67" s="9"/>
      <c r="H67" s="9"/>
      <c r="I67" s="9"/>
      <c r="J67" s="9"/>
    </row>
    <row r="68" customFormat="false" ht="15" hidden="false" customHeight="false" outlineLevel="0" collapsed="false">
      <c r="A68" s="9" t="s">
        <v>1018</v>
      </c>
      <c r="B68" s="9"/>
      <c r="C68" s="9" t="n">
        <f aca="false">COUNTIFS(Backlog!$L$2:$L$229,A68)</f>
        <v>7</v>
      </c>
      <c r="D68" s="9" t="n">
        <f aca="false">SUMIFS(Backlog!$J$2:$J$229,Backlog!$L$2:$L$229,A68)</f>
        <v>18</v>
      </c>
      <c r="E68" s="9" t="n">
        <f aca="false">SUMIFS(Backlog!$J$2:$J$229,Backlog!$L$2:$L$229,A68,Backlog!$N$2:$N$229,"Done")</f>
        <v>0</v>
      </c>
      <c r="F68" s="9"/>
      <c r="G68" s="9"/>
      <c r="H68" s="9"/>
      <c r="I68" s="9"/>
      <c r="J68" s="9"/>
    </row>
    <row r="69" customFormat="false" ht="15" hidden="false" customHeight="false" outlineLevel="0" collapsed="false">
      <c r="A69" s="9" t="s">
        <v>1164</v>
      </c>
      <c r="B69" s="9"/>
      <c r="C69" s="9" t="n">
        <f aca="false">COUNTIFS(Backlog!$L$2:$L$229,A69)</f>
        <v>0</v>
      </c>
      <c r="D69" s="9" t="n">
        <f aca="false">SUMIFS(Backlog!$J$2:$J$229,Backlog!$L$2:$L$229,A69)</f>
        <v>0</v>
      </c>
      <c r="E69" s="9" t="n">
        <f aca="false">SUMIFS(Backlog!$J$2:$J$229,Backlog!$L$2:$L$229,A69,Backlog!$N$2:$N$229,"Done")</f>
        <v>0</v>
      </c>
      <c r="F69" s="9"/>
      <c r="G69" s="9"/>
      <c r="H69" s="9"/>
      <c r="I69" s="9"/>
      <c r="J69"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26"/>
    <col collapsed="false" customWidth="true" hidden="false" outlineLevel="0" max="4" min="4" style="0" width="60"/>
    <col collapsed="false" customWidth="true" hidden="false" outlineLevel="0" max="6" min="5" style="0" width="40"/>
  </cols>
  <sheetData>
    <row r="1" customFormat="false" ht="15" hidden="false" customHeight="false" outlineLevel="0" collapsed="false">
      <c r="A1" s="8" t="s">
        <v>1160</v>
      </c>
      <c r="B1" s="8" t="s">
        <v>1165</v>
      </c>
      <c r="C1" s="8" t="s">
        <v>1166</v>
      </c>
      <c r="D1" s="8" t="s">
        <v>6</v>
      </c>
      <c r="E1" s="8" t="s">
        <v>1167</v>
      </c>
      <c r="F1" s="8" t="s">
        <v>1168</v>
      </c>
    </row>
    <row r="2" customFormat="false" ht="35.05" hidden="false" customHeight="false" outlineLevel="0" collapsed="false">
      <c r="A2" s="2" t="s">
        <v>1169</v>
      </c>
      <c r="B2" s="2" t="s">
        <v>1170</v>
      </c>
      <c r="C2" s="2" t="s">
        <v>1171</v>
      </c>
      <c r="D2" s="2" t="s">
        <v>1172</v>
      </c>
      <c r="E2" s="2" t="s">
        <v>1173</v>
      </c>
      <c r="F2" s="2" t="s">
        <v>1174</v>
      </c>
    </row>
    <row r="3" customFormat="false" ht="23.85" hidden="false" customHeight="false" outlineLevel="0" collapsed="false">
      <c r="A3" s="2" t="s">
        <v>1175</v>
      </c>
      <c r="B3" s="2" t="s">
        <v>1176</v>
      </c>
      <c r="C3" s="2" t="s">
        <v>1177</v>
      </c>
      <c r="D3" s="2" t="s">
        <v>1178</v>
      </c>
      <c r="E3" s="2" t="s">
        <v>1179</v>
      </c>
      <c r="F3" s="2" t="s">
        <v>1180</v>
      </c>
    </row>
    <row r="4" customFormat="false" ht="23.85" hidden="false" customHeight="false" outlineLevel="0" collapsed="false">
      <c r="A4" s="2" t="s">
        <v>1181</v>
      </c>
      <c r="B4" s="2" t="s">
        <v>1182</v>
      </c>
      <c r="C4" s="2" t="s">
        <v>1183</v>
      </c>
      <c r="D4" s="2" t="s">
        <v>1184</v>
      </c>
      <c r="E4" s="2" t="s">
        <v>1185</v>
      </c>
      <c r="F4" s="2" t="s">
        <v>1186</v>
      </c>
    </row>
    <row r="5" customFormat="false" ht="23.85" hidden="false" customHeight="false" outlineLevel="0" collapsed="false">
      <c r="A5" s="2" t="s">
        <v>1187</v>
      </c>
      <c r="B5" s="2" t="s">
        <v>1188</v>
      </c>
      <c r="C5" s="2" t="s">
        <v>1189</v>
      </c>
      <c r="D5" s="2" t="s">
        <v>1190</v>
      </c>
      <c r="E5" s="2" t="s">
        <v>1191</v>
      </c>
      <c r="F5" s="2" t="s">
        <v>1192</v>
      </c>
    </row>
    <row r="6" customFormat="false" ht="35.05" hidden="false" customHeight="false" outlineLevel="0" collapsed="false">
      <c r="A6" s="2" t="s">
        <v>1193</v>
      </c>
      <c r="B6" s="2" t="s">
        <v>1194</v>
      </c>
      <c r="C6" s="2" t="s">
        <v>1195</v>
      </c>
      <c r="D6" s="2" t="s">
        <v>1196</v>
      </c>
      <c r="E6" s="2" t="s">
        <v>1197</v>
      </c>
      <c r="F6" s="2" t="s">
        <v>1198</v>
      </c>
    </row>
    <row r="7" customFormat="false" ht="23.85" hidden="false" customHeight="false" outlineLevel="0" collapsed="false">
      <c r="A7" s="2" t="s">
        <v>1199</v>
      </c>
      <c r="B7" s="2" t="s">
        <v>1200</v>
      </c>
      <c r="C7" s="2" t="s">
        <v>1201</v>
      </c>
      <c r="D7" s="2" t="s">
        <v>1202</v>
      </c>
      <c r="E7" s="2" t="s">
        <v>1203</v>
      </c>
      <c r="F7" s="2" t="s">
        <v>1204</v>
      </c>
    </row>
    <row r="8" customFormat="false" ht="35.05" hidden="false" customHeight="false" outlineLevel="0" collapsed="false">
      <c r="A8" s="2" t="s">
        <v>1205</v>
      </c>
      <c r="B8" s="2" t="s">
        <v>1206</v>
      </c>
      <c r="C8" s="2" t="s">
        <v>1207</v>
      </c>
      <c r="D8" s="2" t="s">
        <v>1208</v>
      </c>
      <c r="E8" s="2" t="s">
        <v>1209</v>
      </c>
      <c r="F8" s="2" t="s">
        <v>1210</v>
      </c>
    </row>
    <row r="9" customFormat="false" ht="23.85" hidden="false" customHeight="false" outlineLevel="0" collapsed="false">
      <c r="A9" s="2" t="s">
        <v>1211</v>
      </c>
      <c r="B9" s="2" t="s">
        <v>1212</v>
      </c>
      <c r="C9" s="2" t="s">
        <v>1213</v>
      </c>
      <c r="D9" s="2" t="s">
        <v>1214</v>
      </c>
      <c r="E9" s="2" t="s">
        <v>1215</v>
      </c>
      <c r="F9" s="2" t="s">
        <v>1216</v>
      </c>
    </row>
    <row r="10" customFormat="false" ht="23.85" hidden="false" customHeight="false" outlineLevel="0" collapsed="false">
      <c r="A10" s="2" t="s">
        <v>1217</v>
      </c>
      <c r="B10" s="2" t="s">
        <v>1218</v>
      </c>
      <c r="C10" s="2" t="s">
        <v>1219</v>
      </c>
      <c r="D10" s="2" t="s">
        <v>1220</v>
      </c>
      <c r="E10" s="2" t="s">
        <v>1221</v>
      </c>
      <c r="F10" s="2" t="s">
        <v>1222</v>
      </c>
    </row>
    <row r="11" customFormat="false" ht="23.85" hidden="false" customHeight="false" outlineLevel="0" collapsed="false">
      <c r="A11" s="2" t="s">
        <v>49</v>
      </c>
      <c r="B11" s="2" t="s">
        <v>1223</v>
      </c>
      <c r="C11" s="2" t="s">
        <v>1224</v>
      </c>
      <c r="D11" s="2" t="s">
        <v>1225</v>
      </c>
      <c r="E11" s="2" t="s">
        <v>1226</v>
      </c>
      <c r="F11" s="2" t="s">
        <v>1227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10"/>
    <col collapsed="false" customWidth="true" hidden="false" outlineLevel="0" max="4" min="4" style="0" width="30"/>
    <col collapsed="false" customWidth="true" hidden="false" outlineLevel="0" max="5" min="5" style="0" width="14"/>
  </cols>
  <sheetData>
    <row r="1" customFormat="false" ht="15" hidden="false" customHeight="false" outlineLevel="0" collapsed="false">
      <c r="A1" s="8" t="s">
        <v>1228</v>
      </c>
      <c r="B1" s="8" t="s">
        <v>23</v>
      </c>
      <c r="C1" s="8" t="s">
        <v>1229</v>
      </c>
      <c r="D1" s="8" t="s">
        <v>1230</v>
      </c>
      <c r="E1" s="8" t="s">
        <v>1231</v>
      </c>
    </row>
    <row r="2" customFormat="false" ht="15" hidden="false" customHeight="false" outlineLevel="0" collapsed="false">
      <c r="A2" s="9" t="s">
        <v>166</v>
      </c>
      <c r="B2" s="9" t="s">
        <v>1232</v>
      </c>
      <c r="C2" s="9" t="s">
        <v>1233</v>
      </c>
      <c r="D2" s="9" t="s">
        <v>1234</v>
      </c>
      <c r="E2" s="9" t="n">
        <f aca="false">COUNTIF(Backlog!$M$2:$M$229,"*"&amp;A2&amp;"*")</f>
        <v>2</v>
      </c>
    </row>
    <row r="3" customFormat="false" ht="15" hidden="false" customHeight="false" outlineLevel="0" collapsed="false">
      <c r="A3" s="9" t="s">
        <v>459</v>
      </c>
      <c r="B3" s="9" t="s">
        <v>1235</v>
      </c>
      <c r="C3" s="9" t="s">
        <v>1233</v>
      </c>
      <c r="D3" s="9" t="s">
        <v>1236</v>
      </c>
      <c r="E3" s="9" t="n">
        <f aca="false">COUNTIF(Backlog!$M$2:$M$229,"*"&amp;A3&amp;"*")</f>
        <v>4</v>
      </c>
    </row>
    <row r="4" customFormat="false" ht="15" hidden="false" customHeight="false" outlineLevel="0" collapsed="false">
      <c r="A4" s="9" t="s">
        <v>176</v>
      </c>
      <c r="B4" s="9" t="s">
        <v>1237</v>
      </c>
      <c r="C4" s="9" t="s">
        <v>1233</v>
      </c>
      <c r="D4" s="9" t="s">
        <v>1238</v>
      </c>
      <c r="E4" s="9" t="n">
        <f aca="false">COUNTIF(Backlog!$M$2:$M$229,"*"&amp;A4&amp;"*")</f>
        <v>1</v>
      </c>
    </row>
    <row r="5" customFormat="false" ht="15" hidden="false" customHeight="false" outlineLevel="0" collapsed="false">
      <c r="A5" s="9" t="s">
        <v>64</v>
      </c>
      <c r="B5" s="9" t="s">
        <v>1239</v>
      </c>
      <c r="C5" s="9" t="s">
        <v>1233</v>
      </c>
      <c r="D5" s="9" t="s">
        <v>1240</v>
      </c>
      <c r="E5" s="9" t="n">
        <f aca="false">COUNTIF(Backlog!$M$2:$M$229,"*"&amp;A5&amp;"*")</f>
        <v>3</v>
      </c>
    </row>
    <row r="6" customFormat="false" ht="15" hidden="false" customHeight="false" outlineLevel="0" collapsed="false">
      <c r="A6" s="9" t="s">
        <v>469</v>
      </c>
      <c r="B6" s="9" t="s">
        <v>1241</v>
      </c>
      <c r="C6" s="9" t="s">
        <v>1233</v>
      </c>
      <c r="D6" s="9" t="s">
        <v>1242</v>
      </c>
      <c r="E6" s="9" t="n">
        <f aca="false">COUNTIF(Backlog!$M$2:$M$229,"*"&amp;A6&amp;"*")</f>
        <v>1</v>
      </c>
    </row>
    <row r="7" customFormat="false" ht="15" hidden="false" customHeight="false" outlineLevel="0" collapsed="false">
      <c r="A7" s="9" t="s">
        <v>526</v>
      </c>
      <c r="B7" s="9" t="s">
        <v>1243</v>
      </c>
      <c r="C7" s="9" t="s">
        <v>1233</v>
      </c>
      <c r="D7" s="9" t="s">
        <v>1244</v>
      </c>
      <c r="E7" s="9" t="n">
        <f aca="false">COUNTIF(Backlog!$M$2:$M$229,"*"&amp;A7&amp;"*")</f>
        <v>2</v>
      </c>
    </row>
    <row r="8" customFormat="false" ht="15" hidden="false" customHeight="false" outlineLevel="0" collapsed="false">
      <c r="A8" s="9" t="s">
        <v>237</v>
      </c>
      <c r="B8" s="9" t="s">
        <v>1245</v>
      </c>
      <c r="C8" s="9" t="s">
        <v>1233</v>
      </c>
      <c r="D8" s="9" t="s">
        <v>1246</v>
      </c>
      <c r="E8" s="9" t="n">
        <f aca="false">COUNTIF(Backlog!$M$2:$M$229,"*"&amp;A8&amp;"*")</f>
        <v>6</v>
      </c>
    </row>
    <row r="9" customFormat="false" ht="15" hidden="false" customHeight="false" outlineLevel="0" collapsed="false">
      <c r="A9" s="9" t="s">
        <v>440</v>
      </c>
      <c r="B9" s="9" t="s">
        <v>1247</v>
      </c>
      <c r="C9" s="9" t="s">
        <v>1233</v>
      </c>
      <c r="D9" s="9" t="s">
        <v>1248</v>
      </c>
      <c r="E9" s="9" t="n">
        <f aca="false">COUNTIF(Backlog!$M$2:$M$229,"*"&amp;A9&amp;"*")</f>
        <v>2</v>
      </c>
    </row>
    <row r="10" customFormat="false" ht="15" hidden="false" customHeight="false" outlineLevel="0" collapsed="false">
      <c r="A10" s="9" t="s">
        <v>421</v>
      </c>
      <c r="B10" s="9" t="s">
        <v>1249</v>
      </c>
      <c r="C10" s="9" t="s">
        <v>1233</v>
      </c>
      <c r="D10" s="9" t="s">
        <v>1250</v>
      </c>
      <c r="E10" s="9" t="n">
        <f aca="false">COUNTIF(Backlog!$M$2:$M$229,"*"&amp;A10&amp;"*")</f>
        <v>4</v>
      </c>
    </row>
    <row r="11" customFormat="false" ht="15" hidden="false" customHeight="false" outlineLevel="0" collapsed="false">
      <c r="A11" s="9" t="s">
        <v>397</v>
      </c>
      <c r="B11" s="9" t="s">
        <v>1251</v>
      </c>
      <c r="C11" s="9" t="s">
        <v>1233</v>
      </c>
      <c r="D11" s="9" t="s">
        <v>1252</v>
      </c>
      <c r="E11" s="9" t="n">
        <f aca="false">COUNTIF(Backlog!$M$2:$M$229,"*"&amp;A11&amp;"*")</f>
        <v>8</v>
      </c>
    </row>
    <row r="12" customFormat="false" ht="15" hidden="false" customHeight="false" outlineLevel="0" collapsed="false">
      <c r="A12" s="9" t="s">
        <v>407</v>
      </c>
      <c r="B12" s="9" t="s">
        <v>1253</v>
      </c>
      <c r="C12" s="9" t="s">
        <v>1233</v>
      </c>
      <c r="D12" s="9" t="s">
        <v>1254</v>
      </c>
      <c r="E12" s="9" t="n">
        <f aca="false">COUNTIF(Backlog!$M$2:$M$229,"*"&amp;A12&amp;"*")</f>
        <v>7</v>
      </c>
    </row>
    <row r="13" customFormat="false" ht="15" hidden="false" customHeight="false" outlineLevel="0" collapsed="false">
      <c r="A13" s="9" t="s">
        <v>753</v>
      </c>
      <c r="B13" s="9" t="s">
        <v>1255</v>
      </c>
      <c r="C13" s="9" t="s">
        <v>1233</v>
      </c>
      <c r="D13" s="9" t="s">
        <v>1256</v>
      </c>
      <c r="E13" s="9" t="n">
        <f aca="false">COUNTIF(Backlog!$M$2:$M$229,"*"&amp;A13&amp;"*")</f>
        <v>1</v>
      </c>
    </row>
    <row r="14" customFormat="false" ht="15" hidden="false" customHeight="false" outlineLevel="0" collapsed="false">
      <c r="A14" s="9" t="s">
        <v>763</v>
      </c>
      <c r="B14" s="9" t="s">
        <v>1257</v>
      </c>
      <c r="C14" s="9" t="s">
        <v>1233</v>
      </c>
      <c r="D14" s="9" t="s">
        <v>1258</v>
      </c>
      <c r="E14" s="9" t="n">
        <f aca="false">COUNTIF(Backlog!$M$2:$M$229,"*"&amp;A14&amp;"*")</f>
        <v>4</v>
      </c>
    </row>
    <row r="15" customFormat="false" ht="15" hidden="false" customHeight="false" outlineLevel="0" collapsed="false">
      <c r="A15" s="9" t="s">
        <v>618</v>
      </c>
      <c r="B15" s="9" t="s">
        <v>1259</v>
      </c>
      <c r="C15" s="9" t="s">
        <v>1233</v>
      </c>
      <c r="D15" s="9" t="s">
        <v>1260</v>
      </c>
      <c r="E15" s="9" t="n">
        <f aca="false">COUNTIF(Backlog!$M$2:$M$229,"*"&amp;A15&amp;"*")</f>
        <v>4</v>
      </c>
    </row>
    <row r="16" customFormat="false" ht="15" hidden="false" customHeight="false" outlineLevel="0" collapsed="false">
      <c r="A16" s="9" t="s">
        <v>792</v>
      </c>
      <c r="B16" s="9" t="s">
        <v>1261</v>
      </c>
      <c r="C16" s="9" t="s">
        <v>1233</v>
      </c>
      <c r="D16" s="9" t="s">
        <v>1262</v>
      </c>
      <c r="E16" s="9" t="n">
        <f aca="false">COUNTIF(Backlog!$M$2:$M$229,"*"&amp;A16&amp;"*")</f>
        <v>4</v>
      </c>
    </row>
    <row r="17" customFormat="false" ht="15" hidden="false" customHeight="false" outlineLevel="0" collapsed="false">
      <c r="A17" s="9" t="s">
        <v>191</v>
      </c>
      <c r="B17" s="9" t="s">
        <v>1263</v>
      </c>
      <c r="C17" s="9" t="s">
        <v>1233</v>
      </c>
      <c r="D17" s="9" t="s">
        <v>1264</v>
      </c>
      <c r="E17" s="9" t="n">
        <f aca="false">COUNTIF(Backlog!$M$2:$M$229,"*"&amp;A17&amp;"*")</f>
        <v>12</v>
      </c>
    </row>
    <row r="18" customFormat="false" ht="15" hidden="false" customHeight="false" outlineLevel="0" collapsed="false">
      <c r="A18" s="9" t="s">
        <v>600</v>
      </c>
      <c r="B18" s="9" t="s">
        <v>1265</v>
      </c>
      <c r="C18" s="9" t="s">
        <v>1233</v>
      </c>
      <c r="D18" s="9" t="s">
        <v>1266</v>
      </c>
      <c r="E18" s="9" t="n">
        <f aca="false">COUNTIF(Backlog!$M$2:$M$229,"*"&amp;A18&amp;"*")</f>
        <v>3</v>
      </c>
    </row>
    <row r="19" customFormat="false" ht="15" hidden="false" customHeight="false" outlineLevel="0" collapsed="false">
      <c r="A19" s="9" t="s">
        <v>665</v>
      </c>
      <c r="B19" s="9" t="s">
        <v>1267</v>
      </c>
      <c r="C19" s="9" t="s">
        <v>1233</v>
      </c>
      <c r="D19" s="9" t="s">
        <v>1268</v>
      </c>
      <c r="E19" s="9" t="n">
        <f aca="false">COUNTIF(Backlog!$M$2:$M$229,"*"&amp;A19&amp;"*")</f>
        <v>3</v>
      </c>
    </row>
    <row r="20" customFormat="false" ht="15" hidden="false" customHeight="false" outlineLevel="0" collapsed="false">
      <c r="A20" s="9" t="s">
        <v>985</v>
      </c>
      <c r="B20" s="9" t="s">
        <v>1269</v>
      </c>
      <c r="C20" s="9" t="s">
        <v>1233</v>
      </c>
      <c r="D20" s="9" t="s">
        <v>1270</v>
      </c>
      <c r="E20" s="9" t="n">
        <f aca="false">COUNTIF(Backlog!$M$2:$M$229,"*"&amp;A20&amp;"*")</f>
        <v>5</v>
      </c>
    </row>
    <row r="21" customFormat="false" ht="15" hidden="false" customHeight="false" outlineLevel="0" collapsed="false">
      <c r="A21" s="9" t="s">
        <v>47</v>
      </c>
      <c r="B21" s="9" t="s">
        <v>1271</v>
      </c>
      <c r="C21" s="9" t="s">
        <v>1272</v>
      </c>
      <c r="D21" s="9" t="s">
        <v>1273</v>
      </c>
      <c r="E21" s="9" t="n">
        <f aca="false">COUNTIF(Backlog!$M$2:$M$229,"*"&amp;A21&amp;"*")</f>
        <v>3</v>
      </c>
    </row>
    <row r="22" customFormat="false" ht="15" hidden="false" customHeight="false" outlineLevel="0" collapsed="false">
      <c r="A22" s="9" t="s">
        <v>594</v>
      </c>
      <c r="B22" s="9" t="s">
        <v>1274</v>
      </c>
      <c r="C22" s="9" t="s">
        <v>1272</v>
      </c>
      <c r="D22" s="9" t="s">
        <v>1275</v>
      </c>
      <c r="E22" s="9" t="n">
        <f aca="false">COUNTIF(Backlog!$M$2:$M$229,"*"&amp;A22&amp;"*")</f>
        <v>5</v>
      </c>
    </row>
    <row r="23" customFormat="false" ht="15" hidden="false" customHeight="false" outlineLevel="0" collapsed="false">
      <c r="A23" s="9" t="s">
        <v>249</v>
      </c>
      <c r="B23" s="9" t="s">
        <v>1276</v>
      </c>
      <c r="C23" s="9" t="s">
        <v>1272</v>
      </c>
      <c r="D23" s="9" t="s">
        <v>1277</v>
      </c>
      <c r="E23" s="9" t="n">
        <f aca="false">COUNTIF(Backlog!$M$2:$M$229,"*"&amp;A23&amp;"*")</f>
        <v>4</v>
      </c>
    </row>
    <row r="24" customFormat="false" ht="15" hidden="false" customHeight="false" outlineLevel="0" collapsed="false">
      <c r="A24" s="9" t="s">
        <v>209</v>
      </c>
      <c r="B24" s="9" t="s">
        <v>1278</v>
      </c>
      <c r="C24" s="9" t="s">
        <v>1272</v>
      </c>
      <c r="D24" s="9" t="s">
        <v>1279</v>
      </c>
      <c r="E24" s="9" t="n">
        <f aca="false">COUNTIF(Backlog!$M$2:$M$229,"*"&amp;A24&amp;"*")</f>
        <v>12</v>
      </c>
    </row>
    <row r="25" customFormat="false" ht="15" hidden="false" customHeight="false" outlineLevel="0" collapsed="false">
      <c r="A25" s="9" t="s">
        <v>215</v>
      </c>
      <c r="B25" s="9" t="s">
        <v>1280</v>
      </c>
      <c r="C25" s="9" t="s">
        <v>1272</v>
      </c>
      <c r="D25" s="9" t="s">
        <v>1281</v>
      </c>
      <c r="E25" s="9" t="n">
        <f aca="false">COUNTIF(Backlog!$M$2:$M$229,"*"&amp;A25&amp;"*")</f>
        <v>12</v>
      </c>
    </row>
    <row r="26" customFormat="false" ht="15" hidden="false" customHeight="false" outlineLevel="0" collapsed="false">
      <c r="A26" s="9" t="s">
        <v>101</v>
      </c>
      <c r="B26" s="9" t="s">
        <v>1282</v>
      </c>
      <c r="C26" s="9" t="s">
        <v>1272</v>
      </c>
      <c r="D26" s="9" t="s">
        <v>1283</v>
      </c>
      <c r="E26" s="9" t="n">
        <f aca="false">COUNTIF(Backlog!$M$2:$M$229,"*"&amp;A26&amp;"*")</f>
        <v>16</v>
      </c>
    </row>
    <row r="27" customFormat="false" ht="15" hidden="false" customHeight="false" outlineLevel="0" collapsed="false">
      <c r="A27" s="9" t="s">
        <v>111</v>
      </c>
      <c r="B27" s="9" t="s">
        <v>1284</v>
      </c>
      <c r="C27" s="9" t="s">
        <v>1272</v>
      </c>
      <c r="D27" s="9" t="s">
        <v>1285</v>
      </c>
      <c r="E27" s="9" t="n">
        <f aca="false">COUNTIF(Backlog!$M$2:$M$229,"*"&amp;A27&amp;"*")</f>
        <v>3</v>
      </c>
    </row>
    <row r="28" customFormat="false" ht="15" hidden="false" customHeight="false" outlineLevel="0" collapsed="false">
      <c r="A28" s="9" t="s">
        <v>289</v>
      </c>
      <c r="B28" s="9" t="s">
        <v>1286</v>
      </c>
      <c r="C28" s="9" t="s">
        <v>1272</v>
      </c>
      <c r="D28" s="9" t="s">
        <v>1287</v>
      </c>
      <c r="E28" s="9" t="n">
        <f aca="false">COUNTIF(Backlog!$M$2:$M$229,"*"&amp;A28&amp;"*")</f>
        <v>2</v>
      </c>
    </row>
    <row r="29" customFormat="false" ht="15" hidden="false" customHeight="false" outlineLevel="0" collapsed="false">
      <c r="A29" s="9" t="s">
        <v>262</v>
      </c>
      <c r="B29" s="9" t="s">
        <v>1288</v>
      </c>
      <c r="C29" s="9" t="s">
        <v>1272</v>
      </c>
      <c r="D29" s="9" t="s">
        <v>1289</v>
      </c>
      <c r="E29" s="9" t="n">
        <f aca="false">COUNTIF(Backlog!$M$2:$M$229,"*"&amp;A29&amp;"*")</f>
        <v>2</v>
      </c>
    </row>
    <row r="30" customFormat="false" ht="15" hidden="false" customHeight="false" outlineLevel="0" collapsed="false">
      <c r="A30" s="9" t="s">
        <v>125</v>
      </c>
      <c r="B30" s="9" t="s">
        <v>1290</v>
      </c>
      <c r="C30" s="9" t="s">
        <v>1272</v>
      </c>
      <c r="D30" s="9" t="s">
        <v>1291</v>
      </c>
      <c r="E30" s="9" t="n">
        <f aca="false">COUNTIF(Backlog!$M$2:$M$229,"*"&amp;A30&amp;"*")</f>
        <v>6</v>
      </c>
    </row>
    <row r="31" customFormat="false" ht="15" hidden="false" customHeight="false" outlineLevel="0" collapsed="false">
      <c r="A31" s="9" t="s">
        <v>379</v>
      </c>
      <c r="B31" s="9" t="s">
        <v>1292</v>
      </c>
      <c r="C31" s="9" t="s">
        <v>1272</v>
      </c>
      <c r="D31" s="9" t="s">
        <v>1293</v>
      </c>
      <c r="E31" s="9" t="n">
        <f aca="false">COUNTIF(Backlog!$M$2:$M$229,"*"&amp;A31&amp;"*")</f>
        <v>1</v>
      </c>
    </row>
    <row r="32" customFormat="false" ht="15" hidden="false" customHeight="false" outlineLevel="0" collapsed="false">
      <c r="A32" s="9" t="s">
        <v>1294</v>
      </c>
      <c r="B32" s="9" t="s">
        <v>1295</v>
      </c>
      <c r="C32" s="9" t="s">
        <v>1272</v>
      </c>
      <c r="D32" s="9" t="s">
        <v>1296</v>
      </c>
      <c r="E32" s="9" t="n">
        <f aca="false">COUNTIF(Backlog!$M$2:$M$229,"*"&amp;A32&amp;"*")</f>
        <v>1</v>
      </c>
    </row>
    <row r="33" customFormat="false" ht="15" hidden="false" customHeight="false" outlineLevel="0" collapsed="false">
      <c r="A33" s="9" t="s">
        <v>323</v>
      </c>
      <c r="B33" s="9" t="s">
        <v>1297</v>
      </c>
      <c r="C33" s="9" t="s">
        <v>1272</v>
      </c>
      <c r="D33" s="9" t="s">
        <v>1298</v>
      </c>
      <c r="E33" s="9" t="n">
        <f aca="false">COUNTIF(Backlog!$M$2:$M$229,"*"&amp;A33&amp;"*")</f>
        <v>2</v>
      </c>
    </row>
    <row r="34" customFormat="false" ht="15" hidden="false" customHeight="false" outlineLevel="0" collapsed="false">
      <c r="A34" s="9" t="s">
        <v>328</v>
      </c>
      <c r="B34" s="9" t="s">
        <v>1299</v>
      </c>
      <c r="C34" s="9" t="s">
        <v>1272</v>
      </c>
      <c r="D34" s="9" t="s">
        <v>1300</v>
      </c>
      <c r="E34" s="9" t="n">
        <f aca="false">COUNTIF(Backlog!$M$2:$M$229,"*"&amp;A34&amp;"*")</f>
        <v>1</v>
      </c>
    </row>
    <row r="35" customFormat="false" ht="15" hidden="false" customHeight="false" outlineLevel="0" collapsed="false">
      <c r="A35" s="9" t="s">
        <v>333</v>
      </c>
      <c r="B35" s="9" t="s">
        <v>330</v>
      </c>
      <c r="C35" s="9" t="s">
        <v>1272</v>
      </c>
      <c r="D35" s="9" t="s">
        <v>1301</v>
      </c>
      <c r="E35" s="9" t="n">
        <f aca="false">COUNTIF(Backlog!$M$2:$M$229,"*"&amp;A35&amp;"*")</f>
        <v>5</v>
      </c>
    </row>
    <row r="36" customFormat="false" ht="15" hidden="false" customHeight="false" outlineLevel="0" collapsed="false">
      <c r="A36" s="9" t="s">
        <v>342</v>
      </c>
      <c r="B36" s="9" t="s">
        <v>352</v>
      </c>
      <c r="C36" s="9" t="s">
        <v>1272</v>
      </c>
      <c r="D36" s="9" t="s">
        <v>1302</v>
      </c>
      <c r="E36" s="9" t="n">
        <f aca="false">COUNTIF(Backlog!$M$2:$M$229,"*"&amp;A36&amp;"*")</f>
        <v>4</v>
      </c>
    </row>
    <row r="37" customFormat="false" ht="15" hidden="false" customHeight="false" outlineLevel="0" collapsed="false">
      <c r="A37" s="9" t="s">
        <v>951</v>
      </c>
      <c r="B37" s="9" t="s">
        <v>948</v>
      </c>
      <c r="C37" s="9" t="s">
        <v>1272</v>
      </c>
      <c r="D37" s="9" t="s">
        <v>1303</v>
      </c>
      <c r="E37" s="9" t="n">
        <f aca="false">COUNTIF(Backlog!$M$2:$M$229,"*"&amp;A37&amp;"*")</f>
        <v>2</v>
      </c>
    </row>
    <row r="38" customFormat="false" ht="15" hidden="false" customHeight="false" outlineLevel="0" collapsed="false">
      <c r="A38" s="9" t="s">
        <v>374</v>
      </c>
      <c r="B38" s="9" t="s">
        <v>1304</v>
      </c>
      <c r="C38" s="9" t="s">
        <v>1272</v>
      </c>
      <c r="D38" s="9" t="s">
        <v>1305</v>
      </c>
      <c r="E38" s="9" t="n">
        <f aca="false">COUNTIF(Backlog!$M$2:$M$229,"*"&amp;A38&amp;"*")</f>
        <v>4</v>
      </c>
    </row>
    <row r="39" customFormat="false" ht="15" hidden="false" customHeight="false" outlineLevel="0" collapsed="false">
      <c r="A39" s="9" t="s">
        <v>1306</v>
      </c>
      <c r="B39" s="9" t="s">
        <v>1307</v>
      </c>
      <c r="C39" s="9" t="s">
        <v>1272</v>
      </c>
      <c r="D39" s="9" t="s">
        <v>1308</v>
      </c>
      <c r="E39" s="9" t="n">
        <f aca="false">COUNTIF(Backlog!$M$2:$M$229,"*"&amp;A39&amp;"*")</f>
        <v>2</v>
      </c>
    </row>
    <row r="40" customFormat="false" ht="15" hidden="false" customHeight="false" outlineLevel="0" collapsed="false">
      <c r="A40" s="9" t="s">
        <v>1309</v>
      </c>
      <c r="B40" s="9" t="s">
        <v>1310</v>
      </c>
      <c r="C40" s="9" t="s">
        <v>1272</v>
      </c>
      <c r="D40" s="9" t="s">
        <v>1311</v>
      </c>
      <c r="E40" s="9" t="n">
        <f aca="false">COUNTIF(Backlog!$M$2:$M$229,"*"&amp;A40&amp;"*")</f>
        <v>4</v>
      </c>
    </row>
    <row r="41" customFormat="false" ht="15" hidden="false" customHeight="false" outlineLevel="0" collapsed="false">
      <c r="A41" s="9" t="s">
        <v>495</v>
      </c>
      <c r="B41" s="9" t="s">
        <v>1312</v>
      </c>
      <c r="C41" s="9" t="s">
        <v>1272</v>
      </c>
      <c r="D41" s="9" t="s">
        <v>1313</v>
      </c>
      <c r="E41" s="9" t="n">
        <f aca="false">COUNTIF(Backlog!$M$2:$M$229,"*"&amp;A41&amp;"*")</f>
        <v>2</v>
      </c>
    </row>
    <row r="42" customFormat="false" ht="15" hidden="false" customHeight="false" outlineLevel="0" collapsed="false">
      <c r="A42" s="9" t="s">
        <v>228</v>
      </c>
      <c r="B42" s="9" t="s">
        <v>1314</v>
      </c>
      <c r="C42" s="9" t="s">
        <v>1272</v>
      </c>
      <c r="D42" s="9" t="s">
        <v>1315</v>
      </c>
      <c r="E42" s="9" t="n">
        <f aca="false">COUNTIF(Backlog!$M$2:$M$229,"*"&amp;A42&amp;"*")</f>
        <v>1</v>
      </c>
    </row>
    <row r="43" customFormat="false" ht="15" hidden="false" customHeight="false" outlineLevel="0" collapsed="false">
      <c r="A43" s="9" t="s">
        <v>651</v>
      </c>
      <c r="B43" s="9" t="s">
        <v>1316</v>
      </c>
      <c r="C43" s="9" t="s">
        <v>1317</v>
      </c>
      <c r="D43" s="9" t="s">
        <v>1318</v>
      </c>
      <c r="E43" s="9" t="n">
        <f aca="false">COUNTIF(Backlog!$M$2:$M$229,"*"&amp;A43&amp;"*")</f>
        <v>5</v>
      </c>
    </row>
    <row r="44" customFormat="false" ht="15" hidden="false" customHeight="false" outlineLevel="0" collapsed="false">
      <c r="A44" s="9" t="s">
        <v>656</v>
      </c>
      <c r="B44" s="9" t="s">
        <v>1319</v>
      </c>
      <c r="C44" s="9" t="s">
        <v>1317</v>
      </c>
      <c r="D44" s="9" t="s">
        <v>1320</v>
      </c>
      <c r="E44" s="9" t="n">
        <f aca="false">COUNTIF(Backlog!$M$2:$M$229,"*"&amp;A44&amp;"*")</f>
        <v>4</v>
      </c>
    </row>
    <row r="45" customFormat="false" ht="15" hidden="false" customHeight="false" outlineLevel="0" collapsed="false">
      <c r="A45" s="9" t="s">
        <v>693</v>
      </c>
      <c r="B45" s="9" t="s">
        <v>701</v>
      </c>
      <c r="C45" s="9" t="s">
        <v>1317</v>
      </c>
      <c r="D45" s="9" t="s">
        <v>1321</v>
      </c>
      <c r="E45" s="9" t="n">
        <f aca="false">COUNTIF(Backlog!$M$2:$M$229,"*"&amp;A45&amp;"*")</f>
        <v>3</v>
      </c>
    </row>
    <row r="46" customFormat="false" ht="15" hidden="false" customHeight="false" outlineLevel="0" collapsed="false">
      <c r="A46" s="9" t="s">
        <v>709</v>
      </c>
      <c r="B46" s="9" t="s">
        <v>1322</v>
      </c>
      <c r="C46" s="9" t="s">
        <v>1317</v>
      </c>
      <c r="D46" s="9" t="s">
        <v>1323</v>
      </c>
      <c r="E46" s="9" t="n">
        <f aca="false">COUNTIF(Backlog!$M$2:$M$229,"*"&amp;A46&amp;"*")</f>
        <v>4</v>
      </c>
    </row>
    <row r="47" customFormat="false" ht="15" hidden="false" customHeight="false" outlineLevel="0" collapsed="false">
      <c r="A47" s="9" t="s">
        <v>815</v>
      </c>
      <c r="B47" s="9" t="s">
        <v>1324</v>
      </c>
      <c r="C47" s="9" t="s">
        <v>1317</v>
      </c>
      <c r="D47" s="9" t="s">
        <v>1325</v>
      </c>
      <c r="E47" s="9" t="n">
        <f aca="false">COUNTIF(Backlog!$M$2:$M$229,"*"&amp;A47&amp;"*")</f>
        <v>3</v>
      </c>
    </row>
    <row r="48" customFormat="false" ht="15" hidden="false" customHeight="false" outlineLevel="0" collapsed="false">
      <c r="A48" s="9" t="s">
        <v>942</v>
      </c>
      <c r="B48" s="9" t="s">
        <v>1326</v>
      </c>
      <c r="C48" s="9" t="s">
        <v>1272</v>
      </c>
      <c r="D48" s="9" t="s">
        <v>1327</v>
      </c>
      <c r="E48" s="9" t="n">
        <f aca="false">COUNTIF(Backlog!$M$2:$M$229,"*"&amp;A48&amp;"*")</f>
        <v>10</v>
      </c>
    </row>
    <row r="49" customFormat="false" ht="15" hidden="false" customHeight="false" outlineLevel="0" collapsed="false">
      <c r="A49" s="9" t="s">
        <v>1328</v>
      </c>
      <c r="B49" s="9" t="s">
        <v>1329</v>
      </c>
      <c r="C49" s="9" t="s">
        <v>1233</v>
      </c>
      <c r="D49" s="9" t="s">
        <v>1330</v>
      </c>
      <c r="E49" s="9" t="n">
        <f aca="false">COUNTIF(Backlog!$M$2:$M$229,"*"&amp;A49&amp;"*")</f>
        <v>1</v>
      </c>
    </row>
    <row r="50" customFormat="false" ht="15" hidden="false" customHeight="false" outlineLevel="0" collapsed="false">
      <c r="A50" s="9" t="s">
        <v>1331</v>
      </c>
      <c r="B50" s="9" t="s">
        <v>1332</v>
      </c>
      <c r="C50" s="9" t="s">
        <v>1233</v>
      </c>
      <c r="D50" s="9" t="s">
        <v>1333</v>
      </c>
      <c r="E50" s="9" t="n">
        <f aca="false">COUNTIF(Backlog!$M$2:$M$229,"*"&amp;A50&amp;"*")</f>
        <v>1</v>
      </c>
    </row>
    <row r="51" customFormat="false" ht="15" hidden="false" customHeight="false" outlineLevel="0" collapsed="false">
      <c r="A51" s="9" t="s">
        <v>1334</v>
      </c>
      <c r="B51" s="9" t="s">
        <v>970</v>
      </c>
      <c r="C51" s="9" t="s">
        <v>1233</v>
      </c>
      <c r="D51" s="9" t="s">
        <v>1335</v>
      </c>
      <c r="E51" s="9" t="n">
        <f aca="false">COUNTIF(Backlog!$M$2:$M$229,"*"&amp;A51&amp;"*")</f>
        <v>1</v>
      </c>
    </row>
    <row r="52" customFormat="false" ht="15" hidden="false" customHeight="false" outlineLevel="0" collapsed="false">
      <c r="A52" s="9" t="s">
        <v>1336</v>
      </c>
      <c r="B52" s="9" t="s">
        <v>794</v>
      </c>
      <c r="C52" s="9" t="s">
        <v>1233</v>
      </c>
      <c r="D52" s="9" t="s">
        <v>1337</v>
      </c>
      <c r="E52" s="9" t="n">
        <f aca="false">COUNTIF(Backlog!$M$2:$M$229,"*"&amp;A52&amp;"*")</f>
        <v>1</v>
      </c>
    </row>
    <row r="53" customFormat="false" ht="15" hidden="false" customHeight="false" outlineLevel="0" collapsed="false">
      <c r="A53" s="9" t="s">
        <v>1338</v>
      </c>
      <c r="B53" s="9" t="s">
        <v>1339</v>
      </c>
      <c r="C53" s="9" t="s">
        <v>1233</v>
      </c>
      <c r="D53" s="9" t="s">
        <v>1340</v>
      </c>
      <c r="E53" s="9" t="n">
        <f aca="false">COUNTIF(Backlog!$M$2:$M$229,"*"&amp;A53&amp;"*")</f>
        <v>3</v>
      </c>
    </row>
    <row r="54" customFormat="false" ht="15" hidden="false" customHeight="false" outlineLevel="0" collapsed="false">
      <c r="A54" s="9" t="s">
        <v>1341</v>
      </c>
      <c r="B54" s="9" t="s">
        <v>1342</v>
      </c>
      <c r="C54" s="9" t="s">
        <v>1233</v>
      </c>
      <c r="D54" s="9" t="s">
        <v>1343</v>
      </c>
      <c r="E54" s="9" t="n">
        <f aca="false">COUNTIF(Backlog!$M$2:$M$229,"*"&amp;A54&amp;"*")</f>
        <v>1</v>
      </c>
    </row>
    <row r="55" customFormat="false" ht="15" hidden="false" customHeight="false" outlineLevel="0" collapsed="false">
      <c r="A55" s="9" t="s">
        <v>431</v>
      </c>
      <c r="B55" s="9" t="s">
        <v>1344</v>
      </c>
      <c r="C55" s="9" t="s">
        <v>1233</v>
      </c>
      <c r="D55" s="9" t="s">
        <v>1345</v>
      </c>
      <c r="E55" s="9" t="n">
        <f aca="false">COUNTIF(Backlog!$M$2:$M$229,"*"&amp;A55&amp;"*")</f>
        <v>4</v>
      </c>
    </row>
    <row r="56" customFormat="false" ht="15" hidden="false" customHeight="false" outlineLevel="0" collapsed="false">
      <c r="A56" s="9" t="s">
        <v>609</v>
      </c>
      <c r="B56" s="9" t="s">
        <v>1346</v>
      </c>
      <c r="C56" s="9" t="s">
        <v>1233</v>
      </c>
      <c r="D56" s="9" t="s">
        <v>1347</v>
      </c>
      <c r="E56" s="9" t="n">
        <f aca="false">COUNTIF(Backlog!$M$2:$M$229,"*"&amp;A56&amp;"*")</f>
        <v>1</v>
      </c>
    </row>
    <row r="57" customFormat="false" ht="15" hidden="false" customHeight="false" outlineLevel="0" collapsed="false">
      <c r="A57" s="9" t="s">
        <v>1139</v>
      </c>
      <c r="B57" s="9" t="s">
        <v>1348</v>
      </c>
      <c r="C57" s="9" t="s">
        <v>1233</v>
      </c>
      <c r="D57" s="9" t="s">
        <v>1349</v>
      </c>
      <c r="E57" s="9" t="n">
        <f aca="false">COUNTIF(Backlog!$M$2:$M$229,"*"&amp;A57&amp;"*")</f>
        <v>2</v>
      </c>
    </row>
    <row r="58" customFormat="false" ht="15" hidden="false" customHeight="false" outlineLevel="0" collapsed="false">
      <c r="A58" s="9" t="s">
        <v>629</v>
      </c>
      <c r="B58" s="9" t="s">
        <v>625</v>
      </c>
      <c r="C58" s="9" t="s">
        <v>1233</v>
      </c>
      <c r="D58" s="9" t="s">
        <v>1350</v>
      </c>
      <c r="E58" s="9" t="n">
        <f aca="false">COUNTIF(Backlog!$M$2:$M$229,"*"&amp;A58&amp;"*")</f>
        <v>3</v>
      </c>
    </row>
    <row r="59" customFormat="false" ht="15" hidden="false" customHeight="false" outlineLevel="0" collapsed="false">
      <c r="A59" s="9" t="s">
        <v>1351</v>
      </c>
      <c r="B59" s="9" t="s">
        <v>479</v>
      </c>
      <c r="C59" s="9" t="s">
        <v>1272</v>
      </c>
      <c r="D59" s="9" t="s">
        <v>1352</v>
      </c>
      <c r="E59" s="9" t="n">
        <f aca="false">COUNTIF(Backlog!$M$2:$M$229,"*"&amp;A59&amp;"*")</f>
        <v>1</v>
      </c>
    </row>
    <row r="60" customFormat="false" ht="15" hidden="false" customHeight="false" outlineLevel="0" collapsed="false">
      <c r="A60" s="9" t="s">
        <v>1353</v>
      </c>
      <c r="B60" s="9" t="s">
        <v>1354</v>
      </c>
      <c r="C60" s="9" t="s">
        <v>1272</v>
      </c>
      <c r="D60" s="9" t="s">
        <v>1355</v>
      </c>
      <c r="E60" s="9" t="n">
        <f aca="false">COUNTIF(Backlog!$M$2:$M$229,"*"&amp;A60&amp;"*")</f>
        <v>2</v>
      </c>
    </row>
    <row r="61" customFormat="false" ht="15" hidden="false" customHeight="false" outlineLevel="0" collapsed="false">
      <c r="A61" s="9" t="s">
        <v>1356</v>
      </c>
      <c r="B61" s="9" t="s">
        <v>874</v>
      </c>
      <c r="C61" s="9" t="s">
        <v>1272</v>
      </c>
      <c r="D61" s="9" t="s">
        <v>1357</v>
      </c>
      <c r="E61" s="9" t="n">
        <f aca="false">COUNTIF(Backlog!$M$2:$M$229,"*"&amp;A61&amp;"*")</f>
        <v>1</v>
      </c>
    </row>
    <row r="62" customFormat="false" ht="15" hidden="false" customHeight="false" outlineLevel="0" collapsed="false">
      <c r="A62" s="9" t="s">
        <v>1358</v>
      </c>
      <c r="B62" s="9" t="s">
        <v>879</v>
      </c>
      <c r="C62" s="9" t="s">
        <v>1272</v>
      </c>
      <c r="D62" s="9" t="s">
        <v>1359</v>
      </c>
      <c r="E62" s="9" t="n">
        <f aca="false">COUNTIF(Backlog!$M$2:$M$229,"*"&amp;A62&amp;"*")</f>
        <v>1</v>
      </c>
    </row>
    <row r="63" customFormat="false" ht="15" hidden="false" customHeight="false" outlineLevel="0" collapsed="false">
      <c r="A63" s="9" t="s">
        <v>1360</v>
      </c>
      <c r="B63" s="9" t="s">
        <v>299</v>
      </c>
      <c r="C63" s="9" t="s">
        <v>1272</v>
      </c>
      <c r="D63" s="9" t="s">
        <v>1361</v>
      </c>
      <c r="E63" s="9" t="n">
        <f aca="false">COUNTIF(Backlog!$M$2:$M$229,"*"&amp;A63&amp;"*")</f>
        <v>1</v>
      </c>
    </row>
    <row r="64" customFormat="false" ht="15" hidden="false" customHeight="false" outlineLevel="0" collapsed="false">
      <c r="A64" s="9" t="s">
        <v>1362</v>
      </c>
      <c r="B64" s="9" t="s">
        <v>884</v>
      </c>
      <c r="C64" s="9" t="s">
        <v>1272</v>
      </c>
      <c r="D64" s="9" t="s">
        <v>1363</v>
      </c>
      <c r="E64" s="9" t="n">
        <f aca="false">COUNTIF(Backlog!$M$2:$M$229,"*"&amp;A64&amp;"*")</f>
        <v>1</v>
      </c>
    </row>
    <row r="65" customFormat="false" ht="15" hidden="false" customHeight="false" outlineLevel="0" collapsed="false">
      <c r="A65" s="9" t="s">
        <v>221</v>
      </c>
      <c r="B65" s="9" t="s">
        <v>1364</v>
      </c>
      <c r="C65" s="9" t="s">
        <v>1272</v>
      </c>
      <c r="D65" s="9" t="s">
        <v>1365</v>
      </c>
      <c r="E65" s="9" t="n">
        <f aca="false">COUNTIF(Backlog!$M$2:$M$229,"*"&amp;A65&amp;"*")</f>
        <v>4</v>
      </c>
    </row>
    <row r="66" customFormat="false" ht="15" hidden="false" customHeight="false" outlineLevel="0" collapsed="false">
      <c r="A66" s="9" t="s">
        <v>1366</v>
      </c>
      <c r="B66" s="9" t="s">
        <v>1075</v>
      </c>
      <c r="C66" s="9" t="s">
        <v>1272</v>
      </c>
      <c r="D66" s="9" t="s">
        <v>1367</v>
      </c>
      <c r="E66" s="9" t="n">
        <f aca="false">COUNTIF(Backlog!$M$2:$M$229,"*"&amp;A66&amp;"*")</f>
        <v>1</v>
      </c>
    </row>
    <row r="67" customFormat="false" ht="15" hidden="false" customHeight="false" outlineLevel="0" collapsed="false">
      <c r="A67" s="9" t="s">
        <v>1368</v>
      </c>
      <c r="B67" s="9" t="s">
        <v>635</v>
      </c>
      <c r="C67" s="9" t="s">
        <v>1317</v>
      </c>
      <c r="D67" s="9" t="s">
        <v>1369</v>
      </c>
      <c r="E67" s="9" t="n">
        <f aca="false">COUNTIF(Backlog!$M$2:$M$229,"*"&amp;A67&amp;"*")</f>
        <v>1</v>
      </c>
    </row>
    <row r="68" customFormat="false" ht="15" hidden="false" customHeight="false" outlineLevel="0" collapsed="false">
      <c r="A68" s="9" t="s">
        <v>1370</v>
      </c>
      <c r="B68" s="9" t="s">
        <v>1371</v>
      </c>
      <c r="C68" s="9" t="s">
        <v>1317</v>
      </c>
      <c r="D68" s="9" t="s">
        <v>1372</v>
      </c>
      <c r="E68" s="9" t="n">
        <f aca="false">COUNTIF(Backlog!$M$2:$M$229,"*"&amp;A68&amp;"*")</f>
        <v>3</v>
      </c>
    </row>
    <row r="69" customFormat="false" ht="15" hidden="false" customHeight="false" outlineLevel="0" collapsed="false">
      <c r="A69" s="9" t="s">
        <v>1103</v>
      </c>
      <c r="B69" s="9" t="s">
        <v>1373</v>
      </c>
      <c r="C69" s="9" t="s">
        <v>1317</v>
      </c>
      <c r="D69" s="9" t="s">
        <v>1374</v>
      </c>
      <c r="E69" s="9" t="n">
        <f aca="false">COUNTIF(Backlog!$M$2:$M$229,"*"&amp;A69&amp;"*")</f>
        <v>2</v>
      </c>
    </row>
    <row r="70" customFormat="false" ht="15" hidden="false" customHeight="false" outlineLevel="0" collapsed="false">
      <c r="A70" s="9" t="s">
        <v>1108</v>
      </c>
      <c r="B70" s="9" t="s">
        <v>1375</v>
      </c>
      <c r="C70" s="9" t="s">
        <v>1317</v>
      </c>
      <c r="D70" s="9" t="s">
        <v>1376</v>
      </c>
      <c r="E70" s="9" t="n">
        <f aca="false">COUNTIF(Backlog!$M$2:$M$229,"*"&amp;A70&amp;"*")</f>
        <v>2</v>
      </c>
    </row>
    <row r="71" customFormat="false" ht="15" hidden="false" customHeight="false" outlineLevel="0" collapsed="false">
      <c r="A71" s="9" t="s">
        <v>820</v>
      </c>
      <c r="B71" s="9" t="s">
        <v>824</v>
      </c>
      <c r="C71" s="9" t="s">
        <v>1317</v>
      </c>
      <c r="D71" s="9" t="s">
        <v>1377</v>
      </c>
      <c r="E71" s="9" t="n">
        <f aca="false">COUNTIF(Backlog!$M$2:$M$229,"*"&amp;A71&amp;"*")</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3"/>
    <col collapsed="false" customWidth="true" hidden="false" outlineLevel="0" max="4" min="4" style="0" width="10"/>
    <col collapsed="false" customWidth="true" hidden="false" outlineLevel="0" max="5" min="5" style="0" width="3"/>
    <col collapsed="false" customWidth="true" hidden="false" outlineLevel="0" max="6" min="6" style="0" width="10"/>
    <col collapsed="false" customWidth="true" hidden="false" outlineLevel="0" max="7" min="7" style="0" width="44"/>
    <col collapsed="false" customWidth="true" hidden="false" outlineLevel="0" max="8" min="8" style="0" width="12"/>
    <col collapsed="false" customWidth="true" hidden="false" outlineLevel="0" max="9" min="9" style="0" width="3"/>
    <col collapsed="false" customWidth="true" hidden="false" outlineLevel="0" max="10" min="10" style="0" width="14"/>
  </cols>
  <sheetData>
    <row r="1" customFormat="false" ht="15" hidden="false" customHeight="false" outlineLevel="0" collapsed="false">
      <c r="A1" s="8" t="s">
        <v>28</v>
      </c>
      <c r="B1" s="8" t="s">
        <v>29</v>
      </c>
      <c r="C1" s="8"/>
      <c r="D1" s="8" t="s">
        <v>27</v>
      </c>
      <c r="E1" s="8"/>
      <c r="F1" s="8" t="s">
        <v>30</v>
      </c>
      <c r="G1" s="8" t="s">
        <v>23</v>
      </c>
      <c r="H1" s="8" t="s">
        <v>1378</v>
      </c>
      <c r="I1" s="8"/>
      <c r="J1" s="8" t="s">
        <v>32</v>
      </c>
    </row>
    <row r="2" customFormat="false" ht="15" hidden="false" customHeight="false" outlineLevel="0" collapsed="false">
      <c r="A2" s="9" t="s">
        <v>185</v>
      </c>
      <c r="B2" s="9" t="n">
        <v>1</v>
      </c>
      <c r="C2" s="9"/>
      <c r="D2" s="9" t="s">
        <v>43</v>
      </c>
      <c r="E2" s="9"/>
      <c r="F2" s="9" t="s">
        <v>45</v>
      </c>
      <c r="G2" s="9" t="s">
        <v>1153</v>
      </c>
      <c r="H2" s="9" t="s">
        <v>1379</v>
      </c>
      <c r="I2" s="9"/>
      <c r="J2" s="9" t="s">
        <v>48</v>
      </c>
    </row>
    <row r="3" customFormat="false" ht="15" hidden="false" customHeight="false" outlineLevel="0" collapsed="false">
      <c r="A3" s="9" t="s">
        <v>44</v>
      </c>
      <c r="B3" s="9" t="n">
        <v>2</v>
      </c>
      <c r="C3" s="9"/>
      <c r="D3" s="9" t="s">
        <v>220</v>
      </c>
      <c r="E3" s="9"/>
      <c r="F3" s="9" t="s">
        <v>588</v>
      </c>
      <c r="G3" s="9" t="s">
        <v>1154</v>
      </c>
      <c r="H3" s="9" t="s">
        <v>1380</v>
      </c>
      <c r="I3" s="9"/>
      <c r="J3" s="9" t="s">
        <v>1381</v>
      </c>
    </row>
    <row r="4" customFormat="false" ht="15" hidden="false" customHeight="false" outlineLevel="0" collapsed="false">
      <c r="A4" s="9" t="s">
        <v>57</v>
      </c>
      <c r="B4" s="9" t="n">
        <v>3</v>
      </c>
      <c r="C4" s="9"/>
      <c r="D4" s="9" t="s">
        <v>587</v>
      </c>
      <c r="E4" s="9"/>
      <c r="F4" s="9" t="s">
        <v>841</v>
      </c>
      <c r="G4" s="9" t="s">
        <v>1155</v>
      </c>
      <c r="H4" s="9" t="s">
        <v>1382</v>
      </c>
      <c r="I4" s="9"/>
      <c r="J4" s="9" t="s">
        <v>1383</v>
      </c>
    </row>
    <row r="5" customFormat="false" ht="15" hidden="false" customHeight="false" outlineLevel="0" collapsed="false">
      <c r="A5" s="9" t="s">
        <v>214</v>
      </c>
      <c r="B5" s="9" t="n">
        <v>5</v>
      </c>
      <c r="C5" s="9"/>
      <c r="D5" s="9"/>
      <c r="E5" s="9"/>
      <c r="F5" s="9" t="s">
        <v>871</v>
      </c>
      <c r="G5" s="9" t="s">
        <v>1156</v>
      </c>
      <c r="H5" s="9" t="s">
        <v>1384</v>
      </c>
      <c r="I5" s="9"/>
      <c r="J5" s="9" t="s">
        <v>1385</v>
      </c>
    </row>
    <row r="6" customFormat="false" ht="15" hidden="false" customHeight="false" outlineLevel="0" collapsed="false">
      <c r="A6" s="9" t="s">
        <v>509</v>
      </c>
      <c r="B6" s="9" t="n">
        <v>8</v>
      </c>
      <c r="C6" s="9"/>
      <c r="D6" s="9"/>
      <c r="E6" s="9"/>
      <c r="F6" s="9" t="s">
        <v>1047</v>
      </c>
      <c r="G6" s="9" t="s">
        <v>1157</v>
      </c>
      <c r="H6" s="9" t="s">
        <v>1386</v>
      </c>
      <c r="I6" s="9"/>
      <c r="J6" s="9" t="s">
        <v>1387</v>
      </c>
    </row>
    <row r="7" customFormat="false" ht="15" hidden="false" customHeight="false" outlineLevel="0" collapsed="false">
      <c r="A7" s="9"/>
      <c r="B7" s="9"/>
      <c r="C7" s="9"/>
      <c r="D7" s="9"/>
      <c r="E7" s="9"/>
      <c r="F7" s="9"/>
      <c r="G7" s="9"/>
      <c r="H7" s="9"/>
      <c r="I7" s="9"/>
      <c r="J7" s="9" t="s">
        <v>1388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2026-10-21T21:24:44Z</dcterms:created>
  <dc:creator>openpyxl</dc:creator>
  <dc:description/>
  <dc:language>en-US</dc:language>
  <cp:lastModifiedBy/>
  <dcterms:modified xsi:type="dcterms:W3CDTF">2026-10-21T21:24:44Z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